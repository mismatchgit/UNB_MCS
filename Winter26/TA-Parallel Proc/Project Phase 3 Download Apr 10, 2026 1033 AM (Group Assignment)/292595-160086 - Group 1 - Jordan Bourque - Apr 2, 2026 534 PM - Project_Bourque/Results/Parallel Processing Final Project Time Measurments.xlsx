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\Desktop\Winter 2026 Courses\Parallel Processing\Project\Phase3\Results\"/>
    </mc:Choice>
  </mc:AlternateContent>
  <xr:revisionPtr revIDLastSave="0" documentId="13_ncr:1_{493A9197-4A58-470A-9700-835D9311B772}" xr6:coauthVersionLast="47" xr6:coauthVersionMax="47" xr10:uidLastSave="{00000000-0000-0000-0000-000000000000}"/>
  <bookViews>
    <workbookView xWindow="-120" yWindow="-120" windowWidth="29040" windowHeight="15720" xr2:uid="{92523B68-99DE-4663-9EB4-C99DF29C1E17}"/>
  </bookViews>
  <sheets>
    <sheet name="Comparison Graph" sheetId="15" r:id="rId1"/>
    <sheet name="Serial" sheetId="4" r:id="rId2"/>
    <sheet name="OpenMP" sheetId="12" r:id="rId3"/>
    <sheet name="MPI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5" l="1"/>
  <c r="E3" i="15"/>
  <c r="E2" i="15"/>
  <c r="D4" i="15"/>
  <c r="D3" i="15"/>
  <c r="D2" i="15"/>
  <c r="C4" i="15"/>
  <c r="C3" i="15"/>
  <c r="C2" i="15"/>
  <c r="K12" i="14"/>
  <c r="K11" i="14"/>
  <c r="K10" i="14"/>
  <c r="K8" i="14"/>
  <c r="K7" i="14"/>
  <c r="K6" i="14"/>
  <c r="K18" i="12"/>
  <c r="K17" i="12"/>
  <c r="K16" i="12"/>
  <c r="K15" i="12"/>
  <c r="K14" i="12"/>
  <c r="K12" i="12"/>
  <c r="K11" i="12"/>
  <c r="K10" i="12"/>
  <c r="K9" i="12"/>
  <c r="K8" i="12"/>
  <c r="K6" i="12"/>
  <c r="K5" i="12"/>
  <c r="K4" i="12"/>
  <c r="K2" i="12"/>
  <c r="K4" i="14"/>
  <c r="K3" i="14"/>
  <c r="K2" i="14"/>
  <c r="J12" i="14"/>
  <c r="J11" i="14"/>
  <c r="J10" i="14"/>
  <c r="J8" i="14"/>
  <c r="J7" i="14"/>
  <c r="J6" i="14"/>
  <c r="J4" i="14"/>
  <c r="J3" i="14"/>
  <c r="J2" i="14"/>
  <c r="J18" i="12"/>
  <c r="J17" i="12"/>
  <c r="J16" i="12"/>
  <c r="J15" i="12"/>
  <c r="J14" i="12"/>
  <c r="J12" i="12"/>
  <c r="J11" i="12"/>
  <c r="J10" i="12"/>
  <c r="J9" i="12"/>
  <c r="J8" i="12"/>
  <c r="J6" i="12"/>
  <c r="J5" i="12"/>
  <c r="J4" i="12"/>
  <c r="J2" i="12"/>
  <c r="I7" i="14"/>
  <c r="I12" i="14"/>
  <c r="I11" i="14"/>
  <c r="I10" i="14"/>
  <c r="I8" i="14"/>
  <c r="I6" i="14"/>
  <c r="I4" i="14"/>
  <c r="I3" i="14"/>
  <c r="I2" i="14"/>
  <c r="I5" i="12"/>
  <c r="I6" i="12"/>
  <c r="I9" i="12"/>
  <c r="I14" i="12"/>
  <c r="I15" i="12"/>
  <c r="I16" i="12"/>
  <c r="I17" i="12"/>
  <c r="I18" i="12"/>
  <c r="I12" i="12"/>
  <c r="I11" i="12"/>
  <c r="I10" i="12"/>
  <c r="I8" i="12"/>
  <c r="I4" i="12"/>
  <c r="I3" i="12"/>
  <c r="J3" i="12" s="1"/>
  <c r="K3" i="12" s="1"/>
  <c r="I2" i="12"/>
  <c r="H4" i="4"/>
  <c r="H3" i="4"/>
  <c r="H2" i="4"/>
</calcChain>
</file>

<file path=xl/sharedStrings.xml><?xml version="1.0" encoding="utf-8"?>
<sst xmlns="http://schemas.openxmlformats.org/spreadsheetml/2006/main" count="37" uniqueCount="15">
  <si>
    <t>Speedup</t>
  </si>
  <si>
    <t>Time 1</t>
  </si>
  <si>
    <t>Time 2</t>
  </si>
  <si>
    <t>Time 3</t>
  </si>
  <si>
    <t>Time 4</t>
  </si>
  <si>
    <t>Time 5</t>
  </si>
  <si>
    <t>AverageTime</t>
  </si>
  <si>
    <t>Efficiency (%)</t>
  </si>
  <si>
    <t>Width</t>
  </si>
  <si>
    <t>Height</t>
  </si>
  <si>
    <t># Of Threads</t>
  </si>
  <si>
    <t># Of Processors</t>
  </si>
  <si>
    <t>Serial</t>
  </si>
  <si>
    <t>OpenMP</t>
  </si>
  <si>
    <t>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</si>
</sst>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Comparison Graph </a:t>
            </a:r>
          </a:p>
          <a:p>
            <a:pPr>
              <a:defRPr/>
            </a:pPr>
            <a:r>
              <a:rPr lang="en-CA"/>
              <a:t>(Best Average</a:t>
            </a:r>
            <a:r>
              <a:rPr lang="en-CA" baseline="0"/>
              <a:t> Run Time vs Image Size)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Serial</c:v>
              </c:pt>
              <c:pt idx="1">
                <c:v>OpenMP</c:v>
              </c:pt>
              <c:pt idx="2">
                <c:v>MPI</c:v>
              </c:pt>
            </c:strLit>
          </c:cat>
          <c:val>
            <c:numRef>
              <c:f>'Comparison Graph'!$C$2:$E$2</c:f>
              <c:numCache>
                <c:formatCode>General</c:formatCode>
                <c:ptCount val="3"/>
                <c:pt idx="0">
                  <c:v>4.6442199999999993E-3</c:v>
                </c:pt>
                <c:pt idx="1">
                  <c:v>3.0000209999999999E-3</c:v>
                </c:pt>
                <c:pt idx="2">
                  <c:v>1.6530719999999999E-2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C-49D8-B7C9-4D9C70E2528B}"/>
            </c:ext>
          </c:extLst>
        </c:ser>
        <c:ser>
          <c:idx val="1"/>
          <c:order val="1"/>
          <c:tx>
            <c:v>medium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Serial</c:v>
              </c:pt>
              <c:pt idx="1">
                <c:v>OpenMP</c:v>
              </c:pt>
              <c:pt idx="2">
                <c:v>MPI</c:v>
              </c:pt>
            </c:strLit>
          </c:cat>
          <c:val>
            <c:numRef>
              <c:f>'Comparison Graph'!$C$3:$E$3</c:f>
              <c:numCache>
                <c:formatCode>General</c:formatCode>
                <c:ptCount val="3"/>
                <c:pt idx="0">
                  <c:v>8.3078200000000005E-3</c:v>
                </c:pt>
                <c:pt idx="1">
                  <c:v>3.999949E-3</c:v>
                </c:pt>
                <c:pt idx="2">
                  <c:v>2.8811779999999999E-2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2C-49D8-B7C9-4D9C70E2528B}"/>
            </c:ext>
          </c:extLst>
        </c:ser>
        <c:ser>
          <c:idx val="2"/>
          <c:order val="2"/>
          <c:tx>
            <c:v>large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Serial</c:v>
              </c:pt>
              <c:pt idx="1">
                <c:v>OpenMP</c:v>
              </c:pt>
              <c:pt idx="2">
                <c:v>MPI</c:v>
              </c:pt>
            </c:strLit>
          </c:cat>
          <c:val>
            <c:numRef>
              <c:f>'Comparison Graph'!$C$4:$E$4</c:f>
              <c:numCache>
                <c:formatCode>General</c:formatCode>
                <c:ptCount val="3"/>
                <c:pt idx="0">
                  <c:v>1.6419599999999999E-2</c:v>
                </c:pt>
                <c:pt idx="1">
                  <c:v>8.0001350000000002E-3</c:v>
                </c:pt>
                <c:pt idx="2">
                  <c:v>5.1003019999999996E-2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2C-49D8-B7C9-4D9C70E25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913439"/>
        <c:axId val="1549919679"/>
      </c:barChart>
      <c:catAx>
        <c:axId val="154991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919679"/>
        <c:crosses val="autoZero"/>
        <c:auto val="1"/>
        <c:lblAlgn val="ctr"/>
        <c:lblOffset val="100"/>
        <c:noMultiLvlLbl val="0"/>
      </c:catAx>
      <c:valAx>
        <c:axId val="15499196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Best Average Run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913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accent2"/>
                </a:solidFill>
              </a:rPr>
              <a:t>Speedup VS Threads</a:t>
            </a: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525371828521429E-2"/>
          <c:y val="7.407407407407407E-2"/>
          <c:w val="0.8964746281714786"/>
          <c:h val="0.84204505686789155"/>
        </c:manualLayout>
      </c:layout>
      <c:lineChart>
        <c:grouping val="standard"/>
        <c:varyColors val="0"/>
        <c:ser>
          <c:idx val="0"/>
          <c:order val="0"/>
          <c:tx>
            <c:v>small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  <c:pt idx="4">
                <c:v>16</c:v>
              </c:pt>
            </c:numLit>
          </c:cat>
          <c:val>
            <c:numRef>
              <c:f>(OpenMP!$J$2,OpenMP!$J$3,OpenMP!$J$4,OpenMP!$J$5,OpenMP!$J$6)</c:f>
              <c:numCache>
                <c:formatCode>General</c:formatCode>
                <c:ptCount val="5"/>
                <c:pt idx="0">
                  <c:v>0.27318928963302341</c:v>
                </c:pt>
                <c:pt idx="1">
                  <c:v>0.52775048557221915</c:v>
                </c:pt>
                <c:pt idx="2">
                  <c:v>0.96755829064632526</c:v>
                </c:pt>
                <c:pt idx="3">
                  <c:v>1.2900520090774914</c:v>
                </c:pt>
                <c:pt idx="4">
                  <c:v>1.5480870597052625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AF-4715-9D51-3760F3797AE6}"/>
            </c:ext>
          </c:extLst>
        </c:ser>
        <c:ser>
          <c:idx val="1"/>
          <c:order val="1"/>
          <c:tx>
            <c:v>medium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  <c:pt idx="4">
                <c:v>16</c:v>
              </c:pt>
            </c:numLit>
          </c:cat>
          <c:val>
            <c:numRef>
              <c:f>(OpenMP!$J$8,OpenMP!$J$9,OpenMP!$J$10,OpenMP!$J$11,OpenMP!$J$12)</c:f>
              <c:numCache>
                <c:formatCode>General</c:formatCode>
                <c:ptCount val="5"/>
                <c:pt idx="0">
                  <c:v>0.28257991308935188</c:v>
                </c:pt>
                <c:pt idx="1">
                  <c:v>0.54656557344122181</c:v>
                </c:pt>
                <c:pt idx="2">
                  <c:v>1.0384723076384619</c:v>
                </c:pt>
                <c:pt idx="3">
                  <c:v>1.483556982429719</c:v>
                </c:pt>
                <c:pt idx="4">
                  <c:v>1.8060476690393332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AF-4715-9D51-3760F3797AE6}"/>
            </c:ext>
          </c:extLst>
        </c:ser>
        <c:ser>
          <c:idx val="2"/>
          <c:order val="2"/>
          <c:tx>
            <c:v>large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(OpenMP!$J$14,OpenMP!$J$15,OpenMP!$J$16,OpenMP!$J$17,OpenMP!$J$18)</c:f>
              <c:numCache>
                <c:formatCode>General</c:formatCode>
                <c:ptCount val="5"/>
                <c:pt idx="0">
                  <c:v>0.30519750594254652</c:v>
                </c:pt>
                <c:pt idx="1">
                  <c:v>0.59925615244309205</c:v>
                </c:pt>
                <c:pt idx="2">
                  <c:v>1.1563121229209168</c:v>
                </c:pt>
                <c:pt idx="3">
                  <c:v>1.7847205072642718</c:v>
                </c:pt>
                <c:pt idx="4">
                  <c:v>2.2804840999580809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CAF-4715-9D51-3760F3797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776351"/>
        <c:axId val="1462773951"/>
      </c:lineChart>
      <c:catAx>
        <c:axId val="146277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Threads</a:t>
                </a:r>
              </a:p>
            </c:rich>
          </c:tx>
          <c:layout>
            <c:manualLayout>
              <c:xMode val="edge"/>
              <c:yMode val="edge"/>
              <c:x val="0.47423490813648295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3951"/>
        <c:crosses val="autoZero"/>
        <c:auto val="1"/>
        <c:lblAlgn val="ctr"/>
        <c:lblOffset val="100"/>
        <c:noMultiLvlLbl val="0"/>
      </c:catAx>
      <c:valAx>
        <c:axId val="14627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accent2"/>
                </a:solidFill>
              </a:rPr>
              <a:t>Efficiency VS Threads</a:t>
            </a: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525371828521429E-2"/>
          <c:y val="7.407407407407407E-2"/>
          <c:w val="0.8964746281714786"/>
          <c:h val="0.84204505686789155"/>
        </c:manualLayout>
      </c:layout>
      <c:lineChart>
        <c:grouping val="standard"/>
        <c:varyColors val="0"/>
        <c:ser>
          <c:idx val="0"/>
          <c:order val="0"/>
          <c:tx>
            <c:v>small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  <c:pt idx="4">
                <c:v>16</c:v>
              </c:pt>
            </c:numLit>
          </c:cat>
          <c:val>
            <c:numRef>
              <c:f>(OpenMP!$K$2,OpenMP!$K$3,OpenMP!$K$4,OpenMP!$K$5,OpenMP!$K$6)</c:f>
              <c:numCache>
                <c:formatCode>General</c:formatCode>
                <c:ptCount val="5"/>
                <c:pt idx="0">
                  <c:v>27.318928963302341</c:v>
                </c:pt>
                <c:pt idx="1">
                  <c:v>26.387524278610957</c:v>
                </c:pt>
                <c:pt idx="2">
                  <c:v>24.18895726615813</c:v>
                </c:pt>
                <c:pt idx="3">
                  <c:v>16.125650113468641</c:v>
                </c:pt>
                <c:pt idx="4">
                  <c:v>9.6755441231578914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CD-4ADA-A646-F8CADA009FDB}"/>
            </c:ext>
          </c:extLst>
        </c:ser>
        <c:ser>
          <c:idx val="1"/>
          <c:order val="1"/>
          <c:tx>
            <c:v>medium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(OpenMP!$K$8,OpenMP!$K$9,OpenMP!$K$10,OpenMP!$K$11,OpenMP!$K$12)</c:f>
              <c:numCache>
                <c:formatCode>General</c:formatCode>
                <c:ptCount val="5"/>
                <c:pt idx="0">
                  <c:v>28.257991308935189</c:v>
                </c:pt>
                <c:pt idx="1">
                  <c:v>27.328278672061089</c:v>
                </c:pt>
                <c:pt idx="2">
                  <c:v>25.961807690961546</c:v>
                </c:pt>
                <c:pt idx="3">
                  <c:v>18.544462280371487</c:v>
                </c:pt>
                <c:pt idx="4">
                  <c:v>11.287797931495833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CD-4ADA-A646-F8CADA009FDB}"/>
            </c:ext>
          </c:extLst>
        </c:ser>
        <c:ser>
          <c:idx val="2"/>
          <c:order val="2"/>
          <c:tx>
            <c:v>large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(OpenMP!$K$14,OpenMP!$K$15,OpenMP!$K$16,OpenMP!$K$17,OpenMP!$K$18)</c:f>
              <c:numCache>
                <c:formatCode>General</c:formatCode>
                <c:ptCount val="5"/>
                <c:pt idx="0">
                  <c:v>30.519750594254653</c:v>
                </c:pt>
                <c:pt idx="1">
                  <c:v>29.962807622154603</c:v>
                </c:pt>
                <c:pt idx="2">
                  <c:v>28.907803073022919</c:v>
                </c:pt>
                <c:pt idx="3">
                  <c:v>22.309006340803396</c:v>
                </c:pt>
                <c:pt idx="4">
                  <c:v>14.253025624738006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CD-4ADA-A646-F8CADA009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776351"/>
        <c:axId val="1462773951"/>
      </c:lineChart>
      <c:catAx>
        <c:axId val="146277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Threads</a:t>
                </a:r>
              </a:p>
            </c:rich>
          </c:tx>
          <c:layout>
            <c:manualLayout>
              <c:xMode val="edge"/>
              <c:yMode val="edge"/>
              <c:x val="0.47423490813648295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3951"/>
        <c:crosses val="autoZero"/>
        <c:auto val="1"/>
        <c:lblAlgn val="ctr"/>
        <c:lblOffset val="100"/>
        <c:noMultiLvlLbl val="0"/>
      </c:catAx>
      <c:valAx>
        <c:axId val="14627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accent2"/>
                </a:solidFill>
              </a:rPr>
              <a:t>Time VS Threads</a:t>
            </a: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525371828521429E-2"/>
          <c:y val="7.407407407407407E-2"/>
          <c:w val="0.8964746281714786"/>
          <c:h val="0.84204505686789155"/>
        </c:manualLayout>
      </c:layout>
      <c:lineChart>
        <c:grouping val="standard"/>
        <c:varyColors val="0"/>
        <c:ser>
          <c:idx val="0"/>
          <c:order val="0"/>
          <c:tx>
            <c:v>small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  <c:pt idx="4">
                <c:v>16</c:v>
              </c:pt>
            </c:numLit>
          </c:cat>
          <c:val>
            <c:numRef>
              <c:f>(OpenMP!$I$2,OpenMP!$I$3,OpenMP!$I$4,OpenMP!$I$5,OpenMP!$I$6)</c:f>
              <c:numCache>
                <c:formatCode>General</c:formatCode>
                <c:ptCount val="5"/>
                <c:pt idx="0">
                  <c:v>1.7000007599999999E-2</c:v>
                </c:pt>
                <c:pt idx="1">
                  <c:v>8.8000298000000012E-3</c:v>
                </c:pt>
                <c:pt idx="2">
                  <c:v>4.7999382000000002E-3</c:v>
                </c:pt>
                <c:pt idx="3">
                  <c:v>3.6000253999999995E-3</c:v>
                </c:pt>
                <c:pt idx="4">
                  <c:v>2.9999734000000001E-3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A-4137-98E4-AF8C5B652413}"/>
            </c:ext>
          </c:extLst>
        </c:ser>
        <c:ser>
          <c:idx val="1"/>
          <c:order val="1"/>
          <c:tx>
            <c:v>medium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  <c:pt idx="4">
                <c:v>16</c:v>
              </c:pt>
            </c:numLit>
          </c:cat>
          <c:val>
            <c:numRef>
              <c:f>(OpenMP!$I$8,OpenMP!$I$9,OpenMP!$I$10,OpenMP!$I$11,OpenMP!$I$12)</c:f>
              <c:numCache>
                <c:formatCode>General</c:formatCode>
                <c:ptCount val="5"/>
                <c:pt idx="0">
                  <c:v>2.9399895799999999E-2</c:v>
                </c:pt>
                <c:pt idx="1">
                  <c:v>1.52000426E-2</c:v>
                </c:pt>
                <c:pt idx="2">
                  <c:v>8.0000399999999999E-3</c:v>
                </c:pt>
                <c:pt idx="3">
                  <c:v>5.5999332000000006E-3</c:v>
                </c:pt>
                <c:pt idx="4">
                  <c:v>4.6000004000000001E-3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1A-4137-98E4-AF8C5B652413}"/>
            </c:ext>
          </c:extLst>
        </c:ser>
        <c:ser>
          <c:idx val="2"/>
          <c:order val="2"/>
          <c:tx>
            <c:v>large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  <c:pt idx="4">
                <c:v>16</c:v>
              </c:pt>
            </c:numLit>
          </c:cat>
          <c:val>
            <c:numRef>
              <c:f>(OpenMP!$I$14,OpenMP!$I$15,OpenMP!$I$16,OpenMP!$I$17,OpenMP!$I$18)</c:f>
              <c:numCache>
                <c:formatCode>General</c:formatCode>
                <c:ptCount val="5"/>
                <c:pt idx="0">
                  <c:v>5.3799915399999995E-2</c:v>
                </c:pt>
                <c:pt idx="1">
                  <c:v>2.7399969000000003E-2</c:v>
                </c:pt>
                <c:pt idx="2">
                  <c:v>1.4199972199999999E-2</c:v>
                </c:pt>
                <c:pt idx="3">
                  <c:v>9.2000960000000014E-3</c:v>
                </c:pt>
                <c:pt idx="4">
                  <c:v>7.2000501999999996E-3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1A-4137-98E4-AF8C5B652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776351"/>
        <c:axId val="1462773951"/>
      </c:lineChart>
      <c:catAx>
        <c:axId val="146277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Threads</a:t>
                </a:r>
              </a:p>
            </c:rich>
          </c:tx>
          <c:layout>
            <c:manualLayout>
              <c:xMode val="edge"/>
              <c:yMode val="edge"/>
              <c:x val="0.47423490813648295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3951"/>
        <c:crosses val="autoZero"/>
        <c:auto val="1"/>
        <c:lblAlgn val="ctr"/>
        <c:lblOffset val="100"/>
        <c:noMultiLvlLbl val="0"/>
      </c:catAx>
      <c:valAx>
        <c:axId val="14627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accent2"/>
                </a:solidFill>
              </a:rPr>
              <a:t>Speedup VS Processes</a:t>
            </a: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525371828521429E-2"/>
          <c:y val="7.407407407407407E-2"/>
          <c:w val="0.8964746281714786"/>
          <c:h val="0.84204505686789155"/>
        </c:manualLayout>
      </c:layout>
      <c:lineChart>
        <c:grouping val="standard"/>
        <c:varyColors val="0"/>
        <c:ser>
          <c:idx val="0"/>
          <c:order val="0"/>
          <c:tx>
            <c:v>small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4</c:v>
              </c:pt>
            </c:numLit>
          </c:cat>
          <c:val>
            <c:numRef>
              <c:f>(MPI!$J$2,MPI!$J$3,MPI!$J$4)</c:f>
              <c:numCache>
                <c:formatCode>General</c:formatCode>
                <c:ptCount val="3"/>
                <c:pt idx="0">
                  <c:v>7.3495331906540631E-2</c:v>
                </c:pt>
                <c:pt idx="1">
                  <c:v>0.14465064040071685</c:v>
                </c:pt>
                <c:pt idx="2">
                  <c:v>0.28094481063135784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20-44FA-8425-6D041A484349}"/>
            </c:ext>
          </c:extLst>
        </c:ser>
        <c:ser>
          <c:idx val="1"/>
          <c:order val="1"/>
          <c:tx>
            <c:v>medium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(MPI!$J$6,MPI!$J$7,MPI!$J$8)</c:f>
              <c:numCache>
                <c:formatCode>General</c:formatCode>
                <c:ptCount val="3"/>
                <c:pt idx="0">
                  <c:v>4.0983573284141255E-2</c:v>
                </c:pt>
                <c:pt idx="1">
                  <c:v>8.2664960759143077E-2</c:v>
                </c:pt>
                <c:pt idx="2">
                  <c:v>0.16119170700317714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20-44FA-8425-6D041A484349}"/>
            </c:ext>
          </c:extLst>
        </c:ser>
        <c:ser>
          <c:idx val="2"/>
          <c:order val="2"/>
          <c:tx>
            <c:v>large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(MPI!$J$10,MPI!$J$11,MPI!$J$12)</c:f>
              <c:numCache>
                <c:formatCode>General</c:formatCode>
                <c:ptCount val="3"/>
                <c:pt idx="0">
                  <c:v>2.3515628544392805E-2</c:v>
                </c:pt>
                <c:pt idx="1">
                  <c:v>4.53770641726748E-2</c:v>
                </c:pt>
                <c:pt idx="2">
                  <c:v>9.1057745208028854E-2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20-44FA-8425-6D041A484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776351"/>
        <c:axId val="1462773951"/>
      </c:lineChart>
      <c:catAx>
        <c:axId val="146277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Threads</a:t>
                </a:r>
              </a:p>
            </c:rich>
          </c:tx>
          <c:layout>
            <c:manualLayout>
              <c:xMode val="edge"/>
              <c:yMode val="edge"/>
              <c:x val="0.47423490813648295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3951"/>
        <c:crosses val="autoZero"/>
        <c:auto val="1"/>
        <c:lblAlgn val="ctr"/>
        <c:lblOffset val="100"/>
        <c:noMultiLvlLbl val="0"/>
      </c:catAx>
      <c:valAx>
        <c:axId val="14627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accent2"/>
                </a:solidFill>
              </a:rPr>
              <a:t>Efficiency VS Processes</a:t>
            </a: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525371828521429E-2"/>
          <c:y val="7.407407407407407E-2"/>
          <c:w val="0.8964746281714786"/>
          <c:h val="0.84204505686789155"/>
        </c:manualLayout>
      </c:layout>
      <c:lineChart>
        <c:grouping val="standard"/>
        <c:varyColors val="0"/>
        <c:ser>
          <c:idx val="0"/>
          <c:order val="0"/>
          <c:tx>
            <c:v>small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4</c:v>
              </c:pt>
            </c:numLit>
          </c:cat>
          <c:val>
            <c:numRef>
              <c:f>(MPI!$K$2,MPI!$K$3,MPI!$K$4)</c:f>
              <c:numCache>
                <c:formatCode>General</c:formatCode>
                <c:ptCount val="3"/>
                <c:pt idx="0">
                  <c:v>7.3495331906540633</c:v>
                </c:pt>
                <c:pt idx="1">
                  <c:v>7.2325320200358423</c:v>
                </c:pt>
                <c:pt idx="2">
                  <c:v>7.0236202657839462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E4-481A-84C8-0EAB7B39FAE1}"/>
            </c:ext>
          </c:extLst>
        </c:ser>
        <c:ser>
          <c:idx val="1"/>
          <c:order val="1"/>
          <c:tx>
            <c:v>medium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4</c:v>
              </c:pt>
            </c:numLit>
          </c:cat>
          <c:val>
            <c:numRef>
              <c:f>(MPI!$K$6,MPI!$K$7,MPI!$K$8)</c:f>
              <c:numCache>
                <c:formatCode>General</c:formatCode>
                <c:ptCount val="3"/>
                <c:pt idx="0">
                  <c:v>4.0983573284141253</c:v>
                </c:pt>
                <c:pt idx="1">
                  <c:v>4.1332480379571539</c:v>
                </c:pt>
                <c:pt idx="2">
                  <c:v>4.0297926750794284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E4-481A-84C8-0EAB7B39FAE1}"/>
            </c:ext>
          </c:extLst>
        </c:ser>
        <c:ser>
          <c:idx val="2"/>
          <c:order val="2"/>
          <c:tx>
            <c:v>large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4</c:v>
              </c:pt>
            </c:numLit>
          </c:cat>
          <c:val>
            <c:numRef>
              <c:f>(MPI!$K$10,MPI!$K$11,MPI!$K$12)</c:f>
              <c:numCache>
                <c:formatCode>General</c:formatCode>
                <c:ptCount val="3"/>
                <c:pt idx="0">
                  <c:v>2.3515628544392806</c:v>
                </c:pt>
                <c:pt idx="1">
                  <c:v>2.2688532086337401</c:v>
                </c:pt>
                <c:pt idx="2">
                  <c:v>2.2764436302007214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E4-481A-84C8-0EAB7B39F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776351"/>
        <c:axId val="1462773951"/>
      </c:lineChart>
      <c:catAx>
        <c:axId val="146277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Threads</a:t>
                </a:r>
              </a:p>
            </c:rich>
          </c:tx>
          <c:layout>
            <c:manualLayout>
              <c:xMode val="edge"/>
              <c:yMode val="edge"/>
              <c:x val="0.47423490813648295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3951"/>
        <c:crosses val="autoZero"/>
        <c:auto val="1"/>
        <c:lblAlgn val="ctr"/>
        <c:lblOffset val="100"/>
        <c:noMultiLvlLbl val="0"/>
      </c:catAx>
      <c:valAx>
        <c:axId val="14627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accent2"/>
                </a:solidFill>
              </a:rPr>
              <a:t>Time VS Processes</a:t>
            </a: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525371828521429E-2"/>
          <c:y val="7.407407407407407E-2"/>
          <c:w val="0.8964746281714786"/>
          <c:h val="0.84204505686789155"/>
        </c:manualLayout>
      </c:layout>
      <c:lineChart>
        <c:grouping val="standard"/>
        <c:varyColors val="0"/>
        <c:ser>
          <c:idx val="0"/>
          <c:order val="0"/>
          <c:tx>
            <c:v>small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4</c:v>
              </c:pt>
            </c:numLit>
          </c:cat>
          <c:val>
            <c:numRef>
              <c:f>(MPI!$I$2,MPI!$I$3,MPI!$I$4)</c:f>
              <c:numCache>
                <c:formatCode>General</c:formatCode>
                <c:ptCount val="3"/>
                <c:pt idx="0">
                  <c:v>6.3190679999999999E-2</c:v>
                </c:pt>
                <c:pt idx="1">
                  <c:v>3.2106459999999996E-2</c:v>
                </c:pt>
                <c:pt idx="2">
                  <c:v>1.6530719999999999E-2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53-4CC1-A5A6-B2A67FDE5B4C}"/>
            </c:ext>
          </c:extLst>
        </c:ser>
        <c:ser>
          <c:idx val="1"/>
          <c:order val="1"/>
          <c:tx>
            <c:v>medium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4</c:v>
              </c:pt>
            </c:numLit>
          </c:cat>
          <c:val>
            <c:numRef>
              <c:f>(MPI!$I$6,MPI!$I$7,MPI!$I$8)</c:f>
              <c:numCache>
                <c:formatCode>General</c:formatCode>
                <c:ptCount val="3"/>
                <c:pt idx="0">
                  <c:v>0.11331905999999999</c:v>
                </c:pt>
                <c:pt idx="1">
                  <c:v>5.618124E-2</c:v>
                </c:pt>
                <c:pt idx="2">
                  <c:v>2.8811779999999999E-2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53-4CC1-A5A6-B2A67FDE5B4C}"/>
            </c:ext>
          </c:extLst>
        </c:ser>
        <c:ser>
          <c:idx val="2"/>
          <c:order val="2"/>
          <c:tx>
            <c:v>large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4</c:v>
              </c:pt>
            </c:numLit>
          </c:cat>
          <c:val>
            <c:numRef>
              <c:f>(MPI!$I$10,MPI!$I$11,MPI!$I$12)</c:f>
              <c:numCache>
                <c:formatCode>General</c:formatCode>
                <c:ptCount val="3"/>
                <c:pt idx="0">
                  <c:v>0.19749504000000001</c:v>
                </c:pt>
                <c:pt idx="1">
                  <c:v>0.10234729999999999</c:v>
                </c:pt>
                <c:pt idx="2">
                  <c:v>5.1003019999999996E-2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53-4CC1-A5A6-B2A67FDE5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776351"/>
        <c:axId val="1462773951"/>
      </c:lineChart>
      <c:catAx>
        <c:axId val="146277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Threads</a:t>
                </a:r>
              </a:p>
            </c:rich>
          </c:tx>
          <c:layout>
            <c:manualLayout>
              <c:xMode val="edge"/>
              <c:yMode val="edge"/>
              <c:x val="0.47423490813648295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3951"/>
        <c:crosses val="autoZero"/>
        <c:auto val="1"/>
        <c:lblAlgn val="ctr"/>
        <c:lblOffset val="100"/>
        <c:noMultiLvlLbl val="0"/>
      </c:catAx>
      <c:valAx>
        <c:axId val="14627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185736</xdr:rowOff>
    </xdr:from>
    <xdr:to>
      <xdr:col>6</xdr:col>
      <xdr:colOff>19050</xdr:colOff>
      <xdr:row>28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3C4A71-A34C-17F2-050F-ED5F17164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19112</xdr:rowOff>
    </xdr:from>
    <xdr:to>
      <xdr:col>4</xdr:col>
      <xdr:colOff>144006</xdr:colOff>
      <xdr:row>33</xdr:row>
      <xdr:rowOff>95312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0AFFAD-3511-9142-6E27-9A3E0D2C9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136070</xdr:colOff>
      <xdr:row>19</xdr:row>
      <xdr:rowOff>13607</xdr:rowOff>
    </xdr:from>
    <xdr:to>
      <xdr:col>7</xdr:col>
      <xdr:colOff>565827</xdr:colOff>
      <xdr:row>33</xdr:row>
      <xdr:rowOff>89807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B6233D-F1ED-4C5F-9E25-4C782936D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585108</xdr:colOff>
      <xdr:row>19</xdr:row>
      <xdr:rowOff>13607</xdr:rowOff>
    </xdr:from>
    <xdr:to>
      <xdr:col>11</xdr:col>
      <xdr:colOff>130400</xdr:colOff>
      <xdr:row>33</xdr:row>
      <xdr:rowOff>89807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91FBCF-42CA-4A94-8106-7E5EB63CB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4</xdr:col>
      <xdr:colOff>144006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BA091D-F0F5-43AC-B128-EB7A3B900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67235</xdr:colOff>
      <xdr:row>13</xdr:row>
      <xdr:rowOff>11205</xdr:rowOff>
    </xdr:from>
    <xdr:to>
      <xdr:col>7</xdr:col>
      <xdr:colOff>496992</xdr:colOff>
      <xdr:row>27</xdr:row>
      <xdr:rowOff>87405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80F588-97E8-4DF4-9389-5E873EFE7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448236</xdr:colOff>
      <xdr:row>13</xdr:row>
      <xdr:rowOff>11206</xdr:rowOff>
    </xdr:from>
    <xdr:to>
      <xdr:col>10</xdr:col>
      <xdr:colOff>1069293</xdr:colOff>
      <xdr:row>27</xdr:row>
      <xdr:rowOff>87406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F1D263-7EB9-4215-9091-A21B486437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4780B-8993-44F1-81FF-EA288B5F0E12}">
  <dimension ref="A1:K5"/>
  <sheetViews>
    <sheetView tabSelected="1" workbookViewId="0">
      <selection activeCell="H26" sqref="H26"/>
    </sheetView>
  </sheetViews>
  <sheetFormatPr defaultRowHeight="15" x14ac:dyDescent="0.25"/>
  <cols>
    <col min="3" max="3" width="20.28515625" customWidth="1"/>
    <col min="4" max="4" width="25.28515625" customWidth="1"/>
    <col min="5" max="5" width="25.42578125" customWidth="1"/>
  </cols>
  <sheetData>
    <row r="1" spans="1:11" x14ac:dyDescent="0.25">
      <c r="A1" s="3" t="s">
        <v>8</v>
      </c>
      <c r="B1" s="3" t="s">
        <v>9</v>
      </c>
      <c r="C1" s="3" t="s">
        <v>12</v>
      </c>
      <c r="D1" s="3" t="s">
        <v>13</v>
      </c>
      <c r="E1" s="3" t="s">
        <v>14</v>
      </c>
      <c r="F1" s="2"/>
      <c r="G1" s="8"/>
      <c r="H1" s="8"/>
      <c r="I1" s="8"/>
      <c r="J1" s="8"/>
      <c r="K1" s="1"/>
    </row>
    <row r="2" spans="1:11" x14ac:dyDescent="0.25">
      <c r="A2" s="3">
        <v>1024</v>
      </c>
      <c r="B2" s="3">
        <v>1024</v>
      </c>
      <c r="C2" s="3">
        <f>Serial!H2</f>
        <v>4.6442199999999993E-3</v>
      </c>
      <c r="D2" s="3">
        <f>OpenMP!H6</f>
        <v>3.0000209999999999E-3</v>
      </c>
      <c r="E2" s="3">
        <f>MPI!I4</f>
        <v>1.6530719999999999E-2</v>
      </c>
      <c r="F2" s="2"/>
      <c r="G2" s="8"/>
      <c r="H2" s="8"/>
      <c r="I2" s="8"/>
      <c r="J2" s="8"/>
      <c r="K2" s="1"/>
    </row>
    <row r="3" spans="1:11" x14ac:dyDescent="0.25">
      <c r="A3" s="3">
        <v>1024</v>
      </c>
      <c r="B3" s="3">
        <v>1792</v>
      </c>
      <c r="C3" s="3">
        <f>Serial!H3</f>
        <v>8.3078200000000005E-3</v>
      </c>
      <c r="D3" s="3">
        <f>OpenMP!H12</f>
        <v>3.999949E-3</v>
      </c>
      <c r="E3" s="3">
        <f>MPI!I8</f>
        <v>2.8811779999999999E-2</v>
      </c>
      <c r="F3" s="2"/>
      <c r="G3" s="8"/>
      <c r="H3" s="8"/>
      <c r="I3" s="8"/>
      <c r="J3" s="8"/>
      <c r="K3" s="1"/>
    </row>
    <row r="4" spans="1:11" x14ac:dyDescent="0.25">
      <c r="A4" s="3">
        <v>1344</v>
      </c>
      <c r="B4" s="3">
        <v>2368</v>
      </c>
      <c r="C4" s="3">
        <f>Serial!H4</f>
        <v>1.6419599999999999E-2</v>
      </c>
      <c r="D4" s="3">
        <f>OpenMP!H18</f>
        <v>8.0001350000000002E-3</v>
      </c>
      <c r="E4" s="3">
        <f>MPI!I12</f>
        <v>5.1003019999999996E-2</v>
      </c>
      <c r="F4" s="2"/>
      <c r="G4" s="8"/>
      <c r="H4" s="8"/>
      <c r="I4" s="8"/>
      <c r="J4" s="8"/>
      <c r="K4" s="1"/>
    </row>
    <row r="5" spans="1:11" x14ac:dyDescent="0.25">
      <c r="A5" s="2"/>
      <c r="B5" s="2"/>
      <c r="C5" s="2"/>
      <c r="D5" s="2"/>
      <c r="E5" s="2"/>
      <c r="F5" s="2"/>
      <c r="G5" s="1"/>
      <c r="H5" s="1"/>
      <c r="I5" s="1"/>
      <c r="J5" s="1"/>
      <c r="K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B26E-89B5-4FC9-B977-14BCAB444AE6}">
  <dimension ref="A1:S30"/>
  <sheetViews>
    <sheetView zoomScaleNormal="100" workbookViewId="0">
      <selection activeCell="H2" sqref="H2"/>
    </sheetView>
  </sheetViews>
  <sheetFormatPr defaultRowHeight="15" x14ac:dyDescent="0.25"/>
  <cols>
    <col min="1" max="1" width="12.7109375" customWidth="1"/>
    <col min="2" max="2" width="13.28515625" customWidth="1"/>
    <col min="3" max="3" width="20.140625" customWidth="1"/>
    <col min="4" max="5" width="20.5703125" customWidth="1"/>
    <col min="6" max="6" width="20.7109375" customWidth="1"/>
    <col min="7" max="7" width="21" customWidth="1"/>
    <col min="8" max="8" width="25.28515625" customWidth="1"/>
    <col min="9" max="9" width="18" customWidth="1"/>
    <col min="10" max="10" width="16.28515625" customWidth="1"/>
    <col min="11" max="11" width="6.28515625" customWidth="1"/>
    <col min="15" max="15" width="13.140625" customWidth="1"/>
    <col min="18" max="18" width="12.42578125" customWidth="1"/>
  </cols>
  <sheetData>
    <row r="1" spans="1:19" x14ac:dyDescent="0.25">
      <c r="A1" s="3" t="s">
        <v>8</v>
      </c>
      <c r="B1" s="3" t="s">
        <v>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5" t="s">
        <v>0</v>
      </c>
      <c r="J1" s="6" t="s">
        <v>7</v>
      </c>
      <c r="K1" s="2"/>
      <c r="L1" s="1"/>
      <c r="M1" s="1"/>
      <c r="N1" s="1"/>
      <c r="O1" s="1"/>
      <c r="P1" s="1"/>
      <c r="Q1" s="1"/>
      <c r="R1" s="1"/>
      <c r="S1" s="1"/>
    </row>
    <row r="2" spans="1:19" x14ac:dyDescent="0.25">
      <c r="A2" s="3">
        <v>1024</v>
      </c>
      <c r="B2" s="3">
        <v>1024</v>
      </c>
      <c r="C2" s="3">
        <v>4.6151999999999999E-3</v>
      </c>
      <c r="D2" s="3">
        <v>4.6188000000000002E-3</v>
      </c>
      <c r="E2" s="3">
        <v>4.6486000000000001E-3</v>
      </c>
      <c r="F2" s="3">
        <v>4.7045000000000003E-3</v>
      </c>
      <c r="G2" s="3">
        <v>4.6340000000000001E-3</v>
      </c>
      <c r="H2" s="4">
        <f>SUM(C2:G2)/5</f>
        <v>4.6442199999999993E-3</v>
      </c>
      <c r="I2" s="5">
        <v>1</v>
      </c>
      <c r="J2" s="6">
        <v>1</v>
      </c>
      <c r="K2" s="2"/>
      <c r="L2" s="1"/>
      <c r="M2" s="1"/>
      <c r="N2" s="1"/>
      <c r="O2" s="1"/>
      <c r="P2" s="1"/>
      <c r="Q2" s="1"/>
      <c r="R2" s="1"/>
      <c r="S2" s="1"/>
    </row>
    <row r="3" spans="1:19" x14ac:dyDescent="0.25">
      <c r="A3" s="3">
        <v>1024</v>
      </c>
      <c r="B3" s="3">
        <v>1792</v>
      </c>
      <c r="C3" s="3">
        <v>7.9857000000000001E-3</v>
      </c>
      <c r="D3" s="3">
        <v>8.4098999999999997E-3</v>
      </c>
      <c r="E3" s="3">
        <v>8.371E-3</v>
      </c>
      <c r="F3" s="3">
        <v>8.4864999999999993E-3</v>
      </c>
      <c r="G3" s="3">
        <v>8.286E-3</v>
      </c>
      <c r="H3" s="4">
        <f t="shared" ref="H3:H4" si="0">SUM(C3:G3)/5</f>
        <v>8.3078200000000005E-3</v>
      </c>
      <c r="I3" s="5">
        <v>1</v>
      </c>
      <c r="J3" s="6">
        <v>1</v>
      </c>
      <c r="K3" s="2"/>
      <c r="L3" s="1"/>
      <c r="M3" s="1"/>
      <c r="N3" s="1"/>
      <c r="O3" s="1"/>
      <c r="P3" s="1"/>
      <c r="Q3" s="1"/>
      <c r="R3" s="1"/>
      <c r="S3" s="1"/>
    </row>
    <row r="4" spans="1:19" x14ac:dyDescent="0.25">
      <c r="A4" s="3">
        <v>1344</v>
      </c>
      <c r="B4" s="3">
        <v>2368</v>
      </c>
      <c r="C4" s="3">
        <v>1.63324E-2</v>
      </c>
      <c r="D4" s="3">
        <v>1.6672300000000001E-2</v>
      </c>
      <c r="E4" s="3">
        <v>1.6342800000000001E-2</v>
      </c>
      <c r="F4" s="3">
        <v>1.6413000000000001E-2</v>
      </c>
      <c r="G4" s="3">
        <v>1.6337500000000001E-2</v>
      </c>
      <c r="H4" s="4">
        <f t="shared" si="0"/>
        <v>1.6419599999999999E-2</v>
      </c>
      <c r="I4" s="5">
        <v>1</v>
      </c>
      <c r="J4" s="6">
        <v>1</v>
      </c>
      <c r="K4" s="2"/>
      <c r="L4" s="1"/>
      <c r="M4" s="1"/>
      <c r="N4" s="1"/>
      <c r="O4" s="1"/>
      <c r="P4" s="1"/>
      <c r="Q4" s="1"/>
      <c r="R4" s="1"/>
      <c r="S4" s="1"/>
    </row>
    <row r="5" spans="1:1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1"/>
      <c r="M5" s="1"/>
      <c r="N5" s="1"/>
      <c r="O5" s="1"/>
      <c r="P5" s="1"/>
      <c r="Q5" s="1"/>
      <c r="R5" s="1"/>
      <c r="S5" s="1"/>
    </row>
    <row r="6" spans="1:19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52F1-F4C8-4A2C-8685-5F99E475A47F}">
  <dimension ref="A1:S30"/>
  <sheetViews>
    <sheetView zoomScale="85" zoomScaleNormal="85" workbookViewId="0">
      <selection activeCell="I6" sqref="I6"/>
    </sheetView>
  </sheetViews>
  <sheetFormatPr defaultRowHeight="15" x14ac:dyDescent="0.25"/>
  <cols>
    <col min="1" max="1" width="12.7109375" customWidth="1"/>
    <col min="2" max="2" width="13.28515625" customWidth="1"/>
    <col min="3" max="3" width="20.140625" customWidth="1"/>
    <col min="4" max="5" width="20.5703125" customWidth="1"/>
    <col min="6" max="6" width="20.7109375" customWidth="1"/>
    <col min="7" max="7" width="21" customWidth="1"/>
    <col min="8" max="8" width="25.28515625" customWidth="1"/>
    <col min="9" max="9" width="18" customWidth="1"/>
    <col min="10" max="10" width="16.28515625" customWidth="1"/>
    <col min="11" max="11" width="16.140625" customWidth="1"/>
    <col min="13" max="13" width="17" customWidth="1"/>
    <col min="15" max="15" width="13.140625" customWidth="1"/>
    <col min="18" max="18" width="12.42578125" customWidth="1"/>
  </cols>
  <sheetData>
    <row r="1" spans="1:19" x14ac:dyDescent="0.25">
      <c r="A1" s="3" t="s">
        <v>8</v>
      </c>
      <c r="B1" s="3" t="s">
        <v>9</v>
      </c>
      <c r="C1" s="3" t="s">
        <v>10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4" t="s">
        <v>6</v>
      </c>
      <c r="J1" s="5" t="s">
        <v>0</v>
      </c>
      <c r="K1" s="6" t="s">
        <v>7</v>
      </c>
      <c r="L1" s="7"/>
      <c r="M1" s="8"/>
      <c r="N1" s="1"/>
      <c r="O1" s="1"/>
      <c r="P1" s="1"/>
      <c r="Q1" s="1"/>
      <c r="R1" s="1"/>
      <c r="S1" s="1"/>
    </row>
    <row r="2" spans="1:19" x14ac:dyDescent="0.25">
      <c r="A2" s="3">
        <v>1024</v>
      </c>
      <c r="B2" s="3">
        <v>1024</v>
      </c>
      <c r="C2" s="3">
        <v>1</v>
      </c>
      <c r="D2" s="3">
        <v>1.6999960000000001E-2</v>
      </c>
      <c r="E2" s="3">
        <v>1.6999960000000001E-2</v>
      </c>
      <c r="F2" s="3">
        <v>1.6999960000000001E-2</v>
      </c>
      <c r="G2" s="3">
        <v>1.6999960000000001E-2</v>
      </c>
      <c r="H2" s="3">
        <v>1.7000198000000001E-2</v>
      </c>
      <c r="I2" s="4">
        <f>SUM(D2:H2)/5</f>
        <v>1.7000007599999999E-2</v>
      </c>
      <c r="J2" s="5">
        <f>Serial!$H$2/I2</f>
        <v>0.27318928963302341</v>
      </c>
      <c r="K2" s="6">
        <f>J2/C2*100</f>
        <v>27.318928963302341</v>
      </c>
      <c r="L2" s="7"/>
      <c r="M2" s="8"/>
      <c r="N2" s="1"/>
      <c r="O2" s="1"/>
      <c r="P2" s="1"/>
      <c r="Q2" s="1"/>
      <c r="R2" s="1"/>
      <c r="S2" s="1"/>
    </row>
    <row r="3" spans="1:19" x14ac:dyDescent="0.25">
      <c r="A3" s="3">
        <v>1024</v>
      </c>
      <c r="B3" s="3">
        <v>1024</v>
      </c>
      <c r="C3" s="3">
        <v>2</v>
      </c>
      <c r="D3" s="3">
        <v>8.9998249999999995E-3</v>
      </c>
      <c r="E3" s="3">
        <v>9.0000630000000009E-3</v>
      </c>
      <c r="F3" s="3">
        <v>9.0000630000000009E-3</v>
      </c>
      <c r="G3" s="3">
        <v>9.0000630000000009E-3</v>
      </c>
      <c r="H3" s="3">
        <v>8.0001350000000002E-3</v>
      </c>
      <c r="I3" s="4">
        <f t="shared" ref="I3:I6" si="0">SUM(D3:H3)/5</f>
        <v>8.8000298000000012E-3</v>
      </c>
      <c r="J3" s="5">
        <f>Serial!$H$2/I3</f>
        <v>0.52775048557221915</v>
      </c>
      <c r="K3" s="6">
        <f>J3/C3*100</f>
        <v>26.387524278610957</v>
      </c>
      <c r="L3" s="7"/>
      <c r="M3" s="8"/>
      <c r="N3" s="1"/>
      <c r="O3" s="1"/>
      <c r="P3" s="1"/>
      <c r="Q3" s="1"/>
      <c r="R3" s="1"/>
      <c r="S3" s="1"/>
    </row>
    <row r="4" spans="1:19" x14ac:dyDescent="0.25">
      <c r="A4" s="3">
        <v>1024</v>
      </c>
      <c r="B4" s="3">
        <v>1024</v>
      </c>
      <c r="C4" s="3">
        <v>4</v>
      </c>
      <c r="D4" s="3">
        <v>5.0001139999999999E-3</v>
      </c>
      <c r="E4" s="3">
        <v>3.999949E-3</v>
      </c>
      <c r="F4" s="3">
        <v>4.9998760000000003E-3</v>
      </c>
      <c r="G4" s="3">
        <v>4.9998760000000003E-3</v>
      </c>
      <c r="H4" s="3">
        <v>4.9998760000000003E-3</v>
      </c>
      <c r="I4" s="4">
        <f t="shared" si="0"/>
        <v>4.7999382000000002E-3</v>
      </c>
      <c r="J4" s="5">
        <f>Serial!$H$2/I4</f>
        <v>0.96755829064632526</v>
      </c>
      <c r="K4" s="6">
        <f>J4/C4*100</f>
        <v>24.18895726615813</v>
      </c>
      <c r="L4" s="9"/>
      <c r="M4" s="8"/>
      <c r="N4" s="1"/>
      <c r="O4" s="1"/>
      <c r="P4" s="1"/>
      <c r="Q4" s="1"/>
      <c r="R4" s="1"/>
      <c r="S4" s="1"/>
    </row>
    <row r="5" spans="1:19" x14ac:dyDescent="0.25">
      <c r="A5" s="3">
        <v>1024</v>
      </c>
      <c r="B5" s="3">
        <v>1024</v>
      </c>
      <c r="C5" s="3">
        <v>8</v>
      </c>
      <c r="D5" s="3">
        <v>4.0001869999999997E-3</v>
      </c>
      <c r="E5" s="3">
        <v>3.999949E-3</v>
      </c>
      <c r="F5" s="3">
        <v>3.0000209999999999E-3</v>
      </c>
      <c r="G5" s="3">
        <v>3.999949E-3</v>
      </c>
      <c r="H5" s="3">
        <v>3.0000209999999999E-3</v>
      </c>
      <c r="I5" s="4">
        <f t="shared" si="0"/>
        <v>3.6000253999999995E-3</v>
      </c>
      <c r="J5" s="5">
        <f>Serial!$H$2/I5</f>
        <v>1.2900520090774914</v>
      </c>
      <c r="K5" s="6">
        <f>J5/C5*100</f>
        <v>16.125650113468641</v>
      </c>
      <c r="L5" s="9"/>
      <c r="M5" s="8"/>
      <c r="N5" s="1"/>
      <c r="O5" s="1"/>
      <c r="P5" s="1"/>
      <c r="Q5" s="1"/>
      <c r="R5" s="1"/>
      <c r="S5" s="1"/>
    </row>
    <row r="6" spans="1:19" x14ac:dyDescent="0.25">
      <c r="A6" s="3">
        <v>1024</v>
      </c>
      <c r="B6" s="3">
        <v>1024</v>
      </c>
      <c r="C6" s="3">
        <v>16</v>
      </c>
      <c r="D6" s="3">
        <v>1.999855E-3</v>
      </c>
      <c r="E6" s="3">
        <v>3.999949E-3</v>
      </c>
      <c r="F6" s="3">
        <v>3.0000209999999999E-3</v>
      </c>
      <c r="G6" s="3">
        <v>3.0000209999999999E-3</v>
      </c>
      <c r="H6" s="3">
        <v>3.0000209999999999E-3</v>
      </c>
      <c r="I6" s="4">
        <f t="shared" si="0"/>
        <v>2.9999734000000001E-3</v>
      </c>
      <c r="J6" s="5">
        <f>Serial!$H$2/I6</f>
        <v>1.5480870597052625</v>
      </c>
      <c r="K6" s="6">
        <f>J6/C6*100</f>
        <v>9.6755441231578914</v>
      </c>
      <c r="L6" s="9"/>
      <c r="M6" s="8"/>
      <c r="N6" s="1"/>
      <c r="O6" s="1"/>
      <c r="P6" s="1"/>
      <c r="Q6" s="1"/>
      <c r="R6" s="1"/>
      <c r="S6" s="1"/>
    </row>
    <row r="7" spans="1:19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8"/>
      <c r="N7" s="1"/>
      <c r="O7" s="1"/>
      <c r="P7" s="1"/>
      <c r="Q7" s="1"/>
      <c r="R7" s="1"/>
      <c r="S7" s="1"/>
    </row>
    <row r="8" spans="1:19" x14ac:dyDescent="0.25">
      <c r="A8" s="3">
        <v>1024</v>
      </c>
      <c r="B8" s="3">
        <v>1792</v>
      </c>
      <c r="C8" s="3">
        <v>1</v>
      </c>
      <c r="D8" s="3">
        <v>2.9999709999999999E-2</v>
      </c>
      <c r="E8" s="3">
        <v>2.9999709999999999E-2</v>
      </c>
      <c r="F8" s="3">
        <v>2.9000043999999999E-2</v>
      </c>
      <c r="G8" s="3">
        <v>2.9999971E-2</v>
      </c>
      <c r="H8" s="3">
        <v>2.8000044000000002E-2</v>
      </c>
      <c r="I8" s="4">
        <f t="shared" ref="I6:I12" si="1">SUM(D8:H8)/5</f>
        <v>2.9399895799999999E-2</v>
      </c>
      <c r="J8" s="5">
        <f>Serial!$H$3/I8</f>
        <v>0.28257991308935188</v>
      </c>
      <c r="K8" s="6">
        <f>J8/C8*100</f>
        <v>28.257991308935189</v>
      </c>
      <c r="L8" s="9"/>
      <c r="M8" s="8"/>
      <c r="N8" s="1"/>
      <c r="O8" s="1"/>
      <c r="P8" s="1"/>
      <c r="Q8" s="1"/>
      <c r="R8" s="1"/>
      <c r="S8" s="1"/>
    </row>
    <row r="9" spans="1:19" x14ac:dyDescent="0.25">
      <c r="A9" s="3">
        <v>1024</v>
      </c>
      <c r="B9" s="3">
        <v>1792</v>
      </c>
      <c r="C9" s="3">
        <v>2</v>
      </c>
      <c r="D9" s="3">
        <v>1.6000032000000001E-2</v>
      </c>
      <c r="E9" s="3">
        <v>1.6000032000000001E-2</v>
      </c>
      <c r="F9" s="3">
        <v>1.3999938999999999E-2</v>
      </c>
      <c r="G9" s="3">
        <v>1.5000105E-2</v>
      </c>
      <c r="H9" s="3">
        <v>1.5000105E-2</v>
      </c>
      <c r="I9" s="4">
        <f t="shared" si="1"/>
        <v>1.52000426E-2</v>
      </c>
      <c r="J9" s="5">
        <f>Serial!$H$3/I9</f>
        <v>0.54656557344122181</v>
      </c>
      <c r="K9" s="6">
        <f>J9/C9*100</f>
        <v>27.328278672061089</v>
      </c>
      <c r="L9" s="9"/>
      <c r="M9" s="1"/>
      <c r="N9" s="1"/>
      <c r="O9" s="1"/>
      <c r="P9" s="1"/>
      <c r="Q9" s="1"/>
      <c r="R9" s="1"/>
      <c r="S9" s="1"/>
    </row>
    <row r="10" spans="1:19" x14ac:dyDescent="0.25">
      <c r="A10" s="3">
        <v>1024</v>
      </c>
      <c r="B10" s="3">
        <v>1792</v>
      </c>
      <c r="C10" s="3">
        <v>4</v>
      </c>
      <c r="D10" s="3">
        <v>7.000208E-3</v>
      </c>
      <c r="E10" s="3">
        <v>8.0001350000000002E-3</v>
      </c>
      <c r="F10" s="3">
        <v>7.9998970000000006E-3</v>
      </c>
      <c r="G10" s="3">
        <v>7.9998970000000006E-3</v>
      </c>
      <c r="H10" s="3">
        <v>9.0000630000000009E-3</v>
      </c>
      <c r="I10" s="4">
        <f t="shared" si="1"/>
        <v>8.0000399999999999E-3</v>
      </c>
      <c r="J10" s="5">
        <f>Serial!$H$3/I10</f>
        <v>1.0384723076384619</v>
      </c>
      <c r="K10" s="6">
        <f>J10/C10*100</f>
        <v>25.961807690961546</v>
      </c>
      <c r="L10" s="9"/>
      <c r="M10" s="1"/>
      <c r="N10" s="1"/>
      <c r="O10" s="1"/>
      <c r="P10" s="1"/>
      <c r="Q10" s="1"/>
      <c r="R10" s="1"/>
      <c r="S10" s="1"/>
    </row>
    <row r="11" spans="1:19" x14ac:dyDescent="0.25">
      <c r="A11" s="3">
        <v>1024</v>
      </c>
      <c r="B11" s="3">
        <v>1792</v>
      </c>
      <c r="C11" s="3">
        <v>8</v>
      </c>
      <c r="D11" s="3">
        <v>5.0001400000000001E-3</v>
      </c>
      <c r="E11" s="3">
        <v>5.9998040000000001E-3</v>
      </c>
      <c r="F11" s="3">
        <v>6.0000419999999997E-3</v>
      </c>
      <c r="G11" s="3">
        <v>5.9998040000000001E-3</v>
      </c>
      <c r="H11" s="3">
        <v>4.9998760000000003E-3</v>
      </c>
      <c r="I11" s="4">
        <f t="shared" si="1"/>
        <v>5.5999332000000006E-3</v>
      </c>
      <c r="J11" s="5">
        <f>Serial!$H$3/I11</f>
        <v>1.483556982429719</v>
      </c>
      <c r="K11" s="6">
        <f>J11/C11*100</f>
        <v>18.544462280371487</v>
      </c>
      <c r="L11" s="9"/>
      <c r="M11" s="1"/>
      <c r="N11" s="1"/>
      <c r="O11" s="1"/>
      <c r="P11" s="1"/>
      <c r="Q11" s="1"/>
      <c r="R11" s="1"/>
      <c r="S11" s="1"/>
    </row>
    <row r="12" spans="1:19" x14ac:dyDescent="0.25">
      <c r="A12" s="3">
        <v>1024</v>
      </c>
      <c r="B12" s="3">
        <v>1792</v>
      </c>
      <c r="C12" s="3">
        <v>16</v>
      </c>
      <c r="D12" s="3">
        <v>5.0001139999999999E-3</v>
      </c>
      <c r="E12" s="3">
        <v>3.999949E-3</v>
      </c>
      <c r="F12" s="3">
        <v>5.0001139999999999E-3</v>
      </c>
      <c r="G12" s="3">
        <v>4.9998760000000003E-3</v>
      </c>
      <c r="H12" s="3">
        <v>3.999949E-3</v>
      </c>
      <c r="I12" s="4">
        <f t="shared" si="1"/>
        <v>4.6000004000000001E-3</v>
      </c>
      <c r="J12" s="5">
        <f>Serial!$H$3/I12</f>
        <v>1.8060476690393332</v>
      </c>
      <c r="K12" s="6">
        <f>J12/C12*100</f>
        <v>11.287797931495833</v>
      </c>
      <c r="L12" s="9"/>
      <c r="M12" s="1"/>
      <c r="N12" s="1"/>
      <c r="O12" s="1"/>
      <c r="P12" s="1"/>
      <c r="Q12" s="1"/>
      <c r="R12" s="1"/>
      <c r="S12" s="1"/>
    </row>
    <row r="13" spans="1:19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"/>
      <c r="N13" s="1"/>
      <c r="O13" s="1"/>
      <c r="P13" s="1"/>
      <c r="Q13" s="1"/>
      <c r="R13" s="1"/>
      <c r="S13" s="1"/>
    </row>
    <row r="14" spans="1:19" x14ac:dyDescent="0.25">
      <c r="A14" s="3">
        <v>1344</v>
      </c>
      <c r="B14" s="3">
        <v>2368</v>
      </c>
      <c r="C14" s="3">
        <v>1</v>
      </c>
      <c r="D14" s="3">
        <v>5.3999901000000003E-2</v>
      </c>
      <c r="E14" s="3">
        <v>5.3999901000000003E-2</v>
      </c>
      <c r="F14" s="3">
        <v>5.3999901000000003E-2</v>
      </c>
      <c r="G14" s="3">
        <v>5.2999972999999999E-2</v>
      </c>
      <c r="H14" s="3">
        <v>5.3999901000000003E-2</v>
      </c>
      <c r="I14" s="4">
        <f t="shared" ref="I14:I18" si="2">SUM(D14:H14)/5</f>
        <v>5.3799915399999995E-2</v>
      </c>
      <c r="J14" s="5">
        <f>Serial!$H$4/I14</f>
        <v>0.30519750594254652</v>
      </c>
      <c r="K14" s="6">
        <f>J14/C14*100</f>
        <v>30.519750594254653</v>
      </c>
      <c r="L14" s="9"/>
      <c r="M14" s="1"/>
      <c r="N14" s="1"/>
      <c r="O14" s="1"/>
      <c r="P14" s="1"/>
      <c r="Q14" s="1"/>
      <c r="R14" s="1"/>
      <c r="S14" s="1"/>
    </row>
    <row r="15" spans="1:19" x14ac:dyDescent="0.25">
      <c r="A15" s="3">
        <v>1344</v>
      </c>
      <c r="B15" s="3">
        <v>2368</v>
      </c>
      <c r="C15" s="3">
        <v>2</v>
      </c>
      <c r="D15" s="3">
        <v>2.6999950000000002E-2</v>
      </c>
      <c r="E15" s="3">
        <v>2.7999877999999999E-2</v>
      </c>
      <c r="F15" s="3">
        <v>2.6000023000000001E-2</v>
      </c>
      <c r="G15" s="3">
        <v>2.8000115999999999E-2</v>
      </c>
      <c r="H15" s="3">
        <v>2.7999877999999999E-2</v>
      </c>
      <c r="I15" s="4">
        <f t="shared" si="2"/>
        <v>2.7399969000000003E-2</v>
      </c>
      <c r="J15" s="5">
        <f>Serial!$H$4/I15</f>
        <v>0.59925615244309205</v>
      </c>
      <c r="K15" s="6">
        <f>J15/C15*100</f>
        <v>29.962807622154603</v>
      </c>
      <c r="L15" s="9"/>
      <c r="M15" s="1"/>
      <c r="N15" s="1"/>
      <c r="O15" s="1"/>
      <c r="P15" s="1"/>
      <c r="Q15" s="1"/>
      <c r="R15" s="1"/>
      <c r="S15" s="1"/>
    </row>
    <row r="16" spans="1:19" x14ac:dyDescent="0.25">
      <c r="A16" s="3">
        <v>1344</v>
      </c>
      <c r="B16" s="3">
        <v>2368</v>
      </c>
      <c r="C16" s="3">
        <v>4</v>
      </c>
      <c r="D16" s="3">
        <v>1.3999938999999999E-2</v>
      </c>
      <c r="E16" s="3">
        <v>1.3999938999999999E-2</v>
      </c>
      <c r="F16" s="3">
        <v>1.5000105E-2</v>
      </c>
      <c r="G16" s="3">
        <v>1.3999938999999999E-2</v>
      </c>
      <c r="H16" s="3">
        <v>1.3999938999999999E-2</v>
      </c>
      <c r="I16" s="4">
        <f t="shared" si="2"/>
        <v>1.4199972199999999E-2</v>
      </c>
      <c r="J16" s="5">
        <f>Serial!$H$4/I16</f>
        <v>1.1563121229209168</v>
      </c>
      <c r="K16" s="6">
        <f>J16/C16*100</f>
        <v>28.907803073022919</v>
      </c>
      <c r="L16" s="9"/>
      <c r="M16" s="1"/>
      <c r="N16" s="1"/>
      <c r="O16" s="1"/>
      <c r="P16" s="1"/>
      <c r="Q16" s="1"/>
      <c r="R16" s="1"/>
      <c r="S16" s="1"/>
    </row>
    <row r="17" spans="1:19" x14ac:dyDescent="0.25">
      <c r="A17" s="3">
        <v>1344</v>
      </c>
      <c r="B17" s="3">
        <v>2368</v>
      </c>
      <c r="C17" s="3">
        <v>8</v>
      </c>
      <c r="D17" s="3">
        <v>9.9999900000000003E-3</v>
      </c>
      <c r="E17" s="3">
        <v>9.0000630000000009E-3</v>
      </c>
      <c r="F17" s="3">
        <v>1.0000228999999999E-2</v>
      </c>
      <c r="G17" s="3">
        <v>9.0000630000000009E-3</v>
      </c>
      <c r="H17" s="3">
        <v>8.0001350000000002E-3</v>
      </c>
      <c r="I17" s="4">
        <f t="shared" si="2"/>
        <v>9.2000960000000014E-3</v>
      </c>
      <c r="J17" s="5">
        <f>Serial!$H$4/I17</f>
        <v>1.7847205072642718</v>
      </c>
      <c r="K17" s="6">
        <f>J17/C17*100</f>
        <v>22.309006340803396</v>
      </c>
      <c r="L17" s="9"/>
      <c r="M17" s="1"/>
      <c r="N17" s="1"/>
      <c r="O17" s="1"/>
      <c r="P17" s="1"/>
      <c r="Q17" s="1"/>
      <c r="R17" s="1"/>
      <c r="S17" s="1"/>
    </row>
    <row r="18" spans="1:19" x14ac:dyDescent="0.25">
      <c r="A18" s="3">
        <v>1344</v>
      </c>
      <c r="B18" s="3">
        <v>2368</v>
      </c>
      <c r="C18" s="3">
        <v>16</v>
      </c>
      <c r="D18" s="3">
        <v>6.0000419999999997E-3</v>
      </c>
      <c r="E18" s="3">
        <v>6.999969E-3</v>
      </c>
      <c r="F18" s="3">
        <v>7.000208E-3</v>
      </c>
      <c r="G18" s="3">
        <v>7.9998970000000006E-3</v>
      </c>
      <c r="H18" s="3">
        <v>8.0001350000000002E-3</v>
      </c>
      <c r="I18" s="4">
        <f t="shared" si="2"/>
        <v>7.2000501999999996E-3</v>
      </c>
      <c r="J18" s="5">
        <f>Serial!$H$4/I18</f>
        <v>2.2804840999580809</v>
      </c>
      <c r="K18" s="6">
        <f>J18/C18*100</f>
        <v>14.253025624738006</v>
      </c>
      <c r="L18" s="9"/>
      <c r="M18" s="1"/>
      <c r="N18" s="1"/>
      <c r="O18" s="1"/>
      <c r="P18" s="1"/>
      <c r="Q18" s="1"/>
      <c r="R18" s="1"/>
      <c r="S18" s="1"/>
    </row>
    <row r="19" spans="1:19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1"/>
      <c r="N19" s="1"/>
      <c r="O19" s="1"/>
      <c r="P19" s="1"/>
      <c r="Q19" s="1"/>
      <c r="R19" s="1"/>
      <c r="S19" s="1"/>
    </row>
    <row r="20" spans="1:1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8E1E8-07C5-4ADD-91F5-62201AA40E70}">
  <dimension ref="A1:S30"/>
  <sheetViews>
    <sheetView zoomScale="85" zoomScaleNormal="85" workbookViewId="0">
      <selection activeCell="I4" sqref="I4"/>
    </sheetView>
  </sheetViews>
  <sheetFormatPr defaultRowHeight="15" x14ac:dyDescent="0.25"/>
  <cols>
    <col min="1" max="1" width="12.7109375" customWidth="1"/>
    <col min="2" max="2" width="13.28515625" customWidth="1"/>
    <col min="3" max="3" width="20.140625" customWidth="1"/>
    <col min="4" max="5" width="20.5703125" customWidth="1"/>
    <col min="6" max="6" width="20.7109375" customWidth="1"/>
    <col min="7" max="7" width="21" customWidth="1"/>
    <col min="8" max="8" width="25.28515625" customWidth="1"/>
    <col min="9" max="9" width="18" customWidth="1"/>
    <col min="10" max="10" width="16.28515625" customWidth="1"/>
    <col min="11" max="11" width="16.140625" customWidth="1"/>
    <col min="15" max="15" width="13.140625" customWidth="1"/>
    <col min="18" max="18" width="12.42578125" customWidth="1"/>
  </cols>
  <sheetData>
    <row r="1" spans="1:19" x14ac:dyDescent="0.25">
      <c r="A1" s="3" t="s">
        <v>8</v>
      </c>
      <c r="B1" s="3" t="s">
        <v>9</v>
      </c>
      <c r="C1" s="3" t="s">
        <v>11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4" t="s">
        <v>6</v>
      </c>
      <c r="J1" s="5" t="s">
        <v>0</v>
      </c>
      <c r="K1" s="6" t="s">
        <v>7</v>
      </c>
      <c r="L1" s="7"/>
      <c r="M1" s="8"/>
      <c r="N1" s="1"/>
      <c r="O1" s="1"/>
      <c r="P1" s="1"/>
      <c r="Q1" s="1"/>
      <c r="R1" s="1"/>
      <c r="S1" s="1"/>
    </row>
    <row r="2" spans="1:19" x14ac:dyDescent="0.25">
      <c r="A2" s="3">
        <v>1024</v>
      </c>
      <c r="B2" s="3">
        <v>1024</v>
      </c>
      <c r="C2" s="3">
        <v>1</v>
      </c>
      <c r="D2" s="3">
        <v>6.31964E-2</v>
      </c>
      <c r="E2" s="3">
        <v>6.3091300000000003E-2</v>
      </c>
      <c r="F2" s="3">
        <v>6.33774E-2</v>
      </c>
      <c r="G2" s="3">
        <v>6.3259800000000005E-2</v>
      </c>
      <c r="H2" s="3">
        <v>6.3028500000000001E-2</v>
      </c>
      <c r="I2" s="4">
        <f>SUM(D2:H2)/5</f>
        <v>6.3190679999999999E-2</v>
      </c>
      <c r="J2" s="5">
        <f>Serial!$H$2/I2</f>
        <v>7.3495331906540631E-2</v>
      </c>
      <c r="K2" s="6">
        <f>J2/C2*100</f>
        <v>7.3495331906540633</v>
      </c>
      <c r="L2" s="7"/>
      <c r="M2" s="8"/>
      <c r="N2" s="1"/>
      <c r="O2" s="1"/>
      <c r="P2" s="1"/>
      <c r="Q2" s="1"/>
      <c r="R2" s="1"/>
      <c r="S2" s="1"/>
    </row>
    <row r="3" spans="1:19" x14ac:dyDescent="0.25">
      <c r="A3" s="3">
        <v>1024</v>
      </c>
      <c r="B3" s="3">
        <v>1024</v>
      </c>
      <c r="C3" s="3">
        <v>2</v>
      </c>
      <c r="D3" s="3">
        <v>3.1920799999999999E-2</v>
      </c>
      <c r="E3" s="3">
        <v>3.2184200000000003E-2</v>
      </c>
      <c r="F3" s="3">
        <v>3.1940900000000001E-2</v>
      </c>
      <c r="G3" s="3">
        <v>3.2069800000000002E-2</v>
      </c>
      <c r="H3" s="3">
        <v>3.2416599999999997E-2</v>
      </c>
      <c r="I3" s="4">
        <f t="shared" ref="I3:I7" si="0">SUM(D3:H3)/5</f>
        <v>3.2106459999999996E-2</v>
      </c>
      <c r="J3" s="5">
        <f>Serial!$H$2/I3</f>
        <v>0.14465064040071685</v>
      </c>
      <c r="K3" s="6">
        <f t="shared" ref="K3:K4" si="1">J3/C3*100</f>
        <v>7.2325320200358423</v>
      </c>
      <c r="L3" s="7"/>
      <c r="M3" s="8"/>
      <c r="N3" s="1"/>
      <c r="O3" s="1"/>
      <c r="P3" s="1"/>
      <c r="Q3" s="1"/>
      <c r="R3" s="1"/>
      <c r="S3" s="1"/>
    </row>
    <row r="4" spans="1:19" x14ac:dyDescent="0.25">
      <c r="A4" s="3">
        <v>1024</v>
      </c>
      <c r="B4" s="3">
        <v>1024</v>
      </c>
      <c r="C4" s="3">
        <v>4</v>
      </c>
      <c r="D4" s="3">
        <v>1.7461000000000001E-2</v>
      </c>
      <c r="E4" s="3">
        <v>1.6434000000000001E-2</v>
      </c>
      <c r="F4" s="3">
        <v>1.63663E-2</v>
      </c>
      <c r="G4" s="3">
        <v>1.64452E-2</v>
      </c>
      <c r="H4" s="3">
        <v>1.5947099999999999E-2</v>
      </c>
      <c r="I4" s="4">
        <f t="shared" si="0"/>
        <v>1.6530719999999999E-2</v>
      </c>
      <c r="J4" s="5">
        <f>Serial!$H$2/I4</f>
        <v>0.28094481063135784</v>
      </c>
      <c r="K4" s="6">
        <f t="shared" si="1"/>
        <v>7.0236202657839462</v>
      </c>
      <c r="L4" s="9"/>
      <c r="M4" s="8"/>
      <c r="N4" s="1"/>
      <c r="O4" s="1"/>
      <c r="P4" s="1"/>
      <c r="Q4" s="1"/>
      <c r="R4" s="1"/>
      <c r="S4" s="1"/>
    </row>
    <row r="5" spans="1:19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1"/>
      <c r="O5" s="1"/>
      <c r="P5" s="1"/>
      <c r="Q5" s="1"/>
      <c r="R5" s="1"/>
      <c r="S5" s="1"/>
    </row>
    <row r="6" spans="1:19" x14ac:dyDescent="0.25">
      <c r="A6" s="3">
        <v>1024</v>
      </c>
      <c r="B6" s="3">
        <v>1792</v>
      </c>
      <c r="C6" s="3">
        <v>1</v>
      </c>
      <c r="D6" s="3">
        <v>0.1111302</v>
      </c>
      <c r="E6" s="3">
        <v>0.1114643</v>
      </c>
      <c r="F6" s="3">
        <v>0.11214789999999999</v>
      </c>
      <c r="G6" s="3">
        <v>0.11214789999999999</v>
      </c>
      <c r="H6" s="3">
        <v>0.11970500000000001</v>
      </c>
      <c r="I6" s="4">
        <f t="shared" si="0"/>
        <v>0.11331905999999999</v>
      </c>
      <c r="J6" s="5">
        <f>Serial!$H$2/I6</f>
        <v>4.0983573284141255E-2</v>
      </c>
      <c r="K6" s="6">
        <f>J6/C6*100</f>
        <v>4.0983573284141253</v>
      </c>
      <c r="L6" s="9"/>
      <c r="M6" s="8"/>
      <c r="N6" s="1"/>
      <c r="O6" s="1"/>
      <c r="P6" s="1"/>
      <c r="Q6" s="1"/>
      <c r="R6" s="1"/>
      <c r="S6" s="1"/>
    </row>
    <row r="7" spans="1:19" x14ac:dyDescent="0.25">
      <c r="A7" s="3">
        <v>1024</v>
      </c>
      <c r="B7" s="3">
        <v>1792</v>
      </c>
      <c r="C7" s="3">
        <v>2</v>
      </c>
      <c r="D7" s="3">
        <v>5.5978300000000002E-2</v>
      </c>
      <c r="E7" s="3">
        <v>5.6803199999999998E-2</v>
      </c>
      <c r="F7" s="3">
        <v>5.6085599999999999E-2</v>
      </c>
      <c r="G7" s="3">
        <v>5.6161999999999997E-2</v>
      </c>
      <c r="H7" s="3">
        <v>5.5877099999999999E-2</v>
      </c>
      <c r="I7" s="4">
        <f t="shared" si="0"/>
        <v>5.618124E-2</v>
      </c>
      <c r="J7" s="5">
        <f>Serial!$H$2/I7</f>
        <v>8.2664960759143077E-2</v>
      </c>
      <c r="K7" s="6">
        <f t="shared" ref="K7:K8" si="2">J7/C7*100</f>
        <v>4.1332480379571539</v>
      </c>
      <c r="L7" s="9"/>
      <c r="M7" s="8"/>
      <c r="N7" s="1"/>
      <c r="O7" s="1"/>
      <c r="P7" s="1"/>
      <c r="Q7" s="1"/>
      <c r="R7" s="1"/>
      <c r="S7" s="1"/>
    </row>
    <row r="8" spans="1:19" x14ac:dyDescent="0.25">
      <c r="A8" s="3">
        <v>1024</v>
      </c>
      <c r="B8" s="3">
        <v>1792</v>
      </c>
      <c r="C8" s="3">
        <v>4</v>
      </c>
      <c r="D8" s="3">
        <v>2.87922E-2</v>
      </c>
      <c r="E8" s="3">
        <v>2.9285200000000001E-2</v>
      </c>
      <c r="F8" s="3">
        <v>2.8897800000000001E-2</v>
      </c>
      <c r="G8" s="3">
        <v>2.86539E-2</v>
      </c>
      <c r="H8" s="3">
        <v>2.8429800000000002E-2</v>
      </c>
      <c r="I8" s="4">
        <f t="shared" ref="I8:I12" si="3">SUM(D8:H8)/5</f>
        <v>2.8811779999999999E-2</v>
      </c>
      <c r="J8" s="5">
        <f>Serial!$H$2/I8</f>
        <v>0.16119170700317714</v>
      </c>
      <c r="K8" s="6">
        <f t="shared" si="2"/>
        <v>4.0297926750794284</v>
      </c>
      <c r="L8" s="9"/>
      <c r="M8" s="8"/>
      <c r="N8" s="1"/>
      <c r="O8" s="1"/>
      <c r="P8" s="1"/>
      <c r="Q8" s="1"/>
      <c r="R8" s="1"/>
      <c r="S8" s="1"/>
    </row>
    <row r="9" spans="1:19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"/>
      <c r="N9" s="1"/>
      <c r="O9" s="1"/>
      <c r="P9" s="1"/>
      <c r="Q9" s="1"/>
      <c r="R9" s="1"/>
      <c r="S9" s="1"/>
    </row>
    <row r="10" spans="1:19" x14ac:dyDescent="0.25">
      <c r="A10" s="3">
        <v>1344</v>
      </c>
      <c r="B10" s="3">
        <v>2368</v>
      </c>
      <c r="C10" s="3">
        <v>1</v>
      </c>
      <c r="D10" s="3">
        <v>0.19673779999999999</v>
      </c>
      <c r="E10" s="3">
        <v>0.1975036</v>
      </c>
      <c r="F10" s="3">
        <v>0.19808419999999999</v>
      </c>
      <c r="G10" s="3">
        <v>0.1975172</v>
      </c>
      <c r="H10" s="3">
        <v>0.19763240000000001</v>
      </c>
      <c r="I10" s="4">
        <f t="shared" si="3"/>
        <v>0.19749504000000001</v>
      </c>
      <c r="J10" s="5">
        <f>Serial!$H$2/I10</f>
        <v>2.3515628544392805E-2</v>
      </c>
      <c r="K10" s="6">
        <f>J10/C10*100</f>
        <v>2.3515628544392806</v>
      </c>
      <c r="L10" s="9"/>
      <c r="M10" s="1"/>
      <c r="N10" s="1"/>
      <c r="O10" s="1"/>
      <c r="P10" s="1"/>
      <c r="Q10" s="1"/>
      <c r="R10" s="1"/>
      <c r="S10" s="1"/>
    </row>
    <row r="11" spans="1:19" x14ac:dyDescent="0.25">
      <c r="A11" s="3">
        <v>1344</v>
      </c>
      <c r="B11" s="3">
        <v>2368</v>
      </c>
      <c r="C11" s="3">
        <v>2</v>
      </c>
      <c r="D11" s="3">
        <v>9.9755700000000003E-2</v>
      </c>
      <c r="E11" s="3">
        <v>9.9316600000000005E-2</v>
      </c>
      <c r="F11" s="3">
        <v>9.9234500000000003E-2</v>
      </c>
      <c r="G11" s="3">
        <v>0.1041772</v>
      </c>
      <c r="H11" s="3">
        <v>0.1092525</v>
      </c>
      <c r="I11" s="4">
        <f t="shared" si="3"/>
        <v>0.10234729999999999</v>
      </c>
      <c r="J11" s="5">
        <f>Serial!$H$2/I11</f>
        <v>4.53770641726748E-2</v>
      </c>
      <c r="K11" s="6">
        <f t="shared" ref="K11:K12" si="4">J11/C11*100</f>
        <v>2.2688532086337401</v>
      </c>
      <c r="L11" s="9"/>
      <c r="M11" s="1"/>
      <c r="N11" s="1"/>
      <c r="O11" s="1"/>
      <c r="P11" s="1"/>
      <c r="Q11" s="1"/>
      <c r="R11" s="1"/>
      <c r="S11" s="1"/>
    </row>
    <row r="12" spans="1:19" x14ac:dyDescent="0.25">
      <c r="A12" s="3">
        <v>1344</v>
      </c>
      <c r="B12" s="3">
        <v>2368</v>
      </c>
      <c r="C12" s="3">
        <v>4</v>
      </c>
      <c r="D12" s="3">
        <v>5.1204399999999997E-2</v>
      </c>
      <c r="E12" s="3">
        <v>5.1219599999999997E-2</v>
      </c>
      <c r="F12" s="3">
        <v>5.0340000000000003E-2</v>
      </c>
      <c r="G12" s="3">
        <v>5.0919100000000002E-2</v>
      </c>
      <c r="H12" s="3">
        <v>5.1332000000000003E-2</v>
      </c>
      <c r="I12" s="4">
        <f t="shared" si="3"/>
        <v>5.1003019999999996E-2</v>
      </c>
      <c r="J12" s="5">
        <f>Serial!$H$2/I12</f>
        <v>9.1057745208028854E-2</v>
      </c>
      <c r="K12" s="6">
        <f t="shared" si="4"/>
        <v>2.2764436302007214</v>
      </c>
      <c r="L12" s="9"/>
      <c r="M12" s="1"/>
      <c r="N12" s="1"/>
      <c r="O12" s="1"/>
      <c r="P12" s="1"/>
      <c r="Q12" s="1"/>
      <c r="R12" s="1"/>
      <c r="S12" s="1"/>
    </row>
    <row r="13" spans="1:19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"/>
      <c r="N13" s="1"/>
      <c r="O13" s="1"/>
      <c r="P13" s="1"/>
      <c r="Q13" s="1"/>
      <c r="R13" s="1"/>
      <c r="S13" s="1"/>
    </row>
    <row r="14" spans="1:19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"/>
      <c r="N14" s="1"/>
      <c r="O14" s="1"/>
      <c r="P14" s="1"/>
      <c r="Q14" s="1"/>
      <c r="R14" s="1"/>
      <c r="S14" s="1"/>
    </row>
    <row r="15" spans="1:19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"/>
      <c r="N15" s="1"/>
      <c r="O15" s="1"/>
      <c r="P15" s="1"/>
      <c r="Q15" s="1"/>
      <c r="R15" s="1"/>
      <c r="S15" s="1"/>
    </row>
    <row r="16" spans="1:19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"/>
      <c r="N16" s="1"/>
      <c r="O16" s="1"/>
      <c r="P16" s="1"/>
      <c r="Q16" s="1"/>
      <c r="R16" s="1"/>
      <c r="S16" s="1"/>
    </row>
    <row r="17" spans="1:19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1"/>
      <c r="N17" s="1"/>
      <c r="O17" s="1"/>
      <c r="P17" s="1"/>
      <c r="Q17" s="1"/>
      <c r="R17" s="1"/>
      <c r="S17" s="1"/>
    </row>
    <row r="18" spans="1:19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"/>
      <c r="N18" s="1"/>
      <c r="O18" s="1"/>
      <c r="P18" s="1"/>
      <c r="Q18" s="1"/>
      <c r="R18" s="1"/>
      <c r="S18" s="1"/>
    </row>
    <row r="19" spans="1:19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"/>
      <c r="N19" s="1"/>
      <c r="O19" s="1"/>
      <c r="P19" s="1"/>
      <c r="Q19" s="1"/>
      <c r="R19" s="1"/>
      <c r="S19" s="1"/>
    </row>
    <row r="20" spans="1:1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 Graph</vt:lpstr>
      <vt:lpstr>Serial</vt:lpstr>
      <vt:lpstr>OpenMP</vt:lpstr>
      <vt:lpstr>MPI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Mark Bourque</dc:creator>
  <cp:lastModifiedBy>Jordan Mark Bourque</cp:lastModifiedBy>
  <dcterms:created xsi:type="dcterms:W3CDTF">2026-02-26T18:36:21Z</dcterms:created>
  <dcterms:modified xsi:type="dcterms:W3CDTF">2026-04-02T00:08:02Z</dcterms:modified>
</cp:coreProperties>
</file>