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\Desktop\Winter 2026 Courses\Parallel Processing\Assignments\A3\results\"/>
    </mc:Choice>
  </mc:AlternateContent>
  <xr:revisionPtr revIDLastSave="0" documentId="13_ncr:1_{CC1CA7E1-B844-402B-9D3C-98414BA58FFC}" xr6:coauthVersionLast="47" xr6:coauthVersionMax="47" xr10:uidLastSave="{00000000-0000-0000-0000-000000000000}"/>
  <bookViews>
    <workbookView xWindow="-120" yWindow="-120" windowWidth="29040" windowHeight="15720" activeTab="2" xr2:uid="{92523B68-99DE-4663-9EB4-C99DF29C1E17}"/>
  </bookViews>
  <sheets>
    <sheet name="Mode0" sheetId="4" r:id="rId1"/>
    <sheet name="Mode 1" sheetId="14" r:id="rId2"/>
    <sheet name="Mode 2" sheetId="1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4" l="1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5" i="14"/>
  <c r="G4" i="14"/>
  <c r="G3" i="14"/>
  <c r="G2" i="14"/>
  <c r="F25" i="14"/>
  <c r="F24" i="14"/>
  <c r="F23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3" i="14"/>
  <c r="F2" i="14"/>
  <c r="G13" i="16"/>
  <c r="G12" i="16"/>
  <c r="G11" i="16"/>
  <c r="G10" i="16"/>
  <c r="G9" i="16"/>
  <c r="G8" i="16"/>
  <c r="G7" i="16"/>
  <c r="G6" i="16"/>
  <c r="G5" i="16"/>
  <c r="G4" i="16"/>
  <c r="G3" i="16"/>
  <c r="G2" i="16"/>
  <c r="F13" i="16"/>
  <c r="F12" i="16"/>
  <c r="F11" i="16"/>
  <c r="F10" i="16"/>
  <c r="F9" i="16"/>
  <c r="F8" i="16"/>
  <c r="F7" i="16"/>
  <c r="F6" i="16"/>
  <c r="F5" i="16"/>
  <c r="F4" i="16"/>
  <c r="F3" i="16"/>
  <c r="F2" i="16"/>
  <c r="J13" i="16"/>
  <c r="J12" i="16"/>
  <c r="J11" i="16"/>
  <c r="J10" i="16"/>
  <c r="J9" i="16"/>
  <c r="J8" i="16"/>
  <c r="J7" i="16"/>
  <c r="J6" i="16"/>
  <c r="J5" i="16"/>
  <c r="J4" i="16"/>
  <c r="J3" i="16"/>
  <c r="J2" i="16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3" i="14"/>
  <c r="J2" i="14"/>
  <c r="G6" i="14"/>
  <c r="G5" i="4"/>
  <c r="G4" i="4"/>
  <c r="G3" i="4"/>
  <c r="G2" i="4"/>
</calcChain>
</file>

<file path=xl/sharedStrings.xml><?xml version="1.0" encoding="utf-8"?>
<sst xmlns="http://schemas.openxmlformats.org/spreadsheetml/2006/main" count="26" uniqueCount="10">
  <si>
    <t>Speedup</t>
  </si>
  <si>
    <t>AverageTime</t>
  </si>
  <si>
    <t>Efficiency (%)</t>
  </si>
  <si>
    <t>Processes</t>
  </si>
  <si>
    <t>Tolerances</t>
  </si>
  <si>
    <t>Function</t>
  </si>
  <si>
    <t>Result</t>
  </si>
  <si>
    <t>Serial Result</t>
  </si>
  <si>
    <t>Validation Check</t>
  </si>
  <si>
    <t>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</si>
</sst>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1" fontId="0" fillId="3" borderId="0" xfId="0" applyNumberFormat="1" applyFill="1" applyAlignment="1">
      <alignment horizontal="center"/>
    </xf>
    <xf numFmtId="11" fontId="0" fillId="0" borderId="0" xfId="0" applyNumberFormat="1" applyAlignment="1">
      <alignment horizontal="center"/>
    </xf>
    <xf numFmtId="0" fontId="2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11" fontId="0" fillId="0" borderId="0" xfId="0" applyNumberFormat="1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accent2"/>
                </a:solidFill>
              </a:rPr>
              <a:t>Speedup VS Processes</a:t>
            </a:r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525371828521429E-2"/>
          <c:y val="7.407407407407407E-2"/>
          <c:w val="0.8964746281714786"/>
          <c:h val="0.84204505686789155"/>
        </c:manualLayout>
      </c:layout>
      <c:lineChart>
        <c:grouping val="standard"/>
        <c:varyColors val="0"/>
        <c:ser>
          <c:idx val="0"/>
          <c:order val="0"/>
          <c:tx>
            <c:v>1e-6 function 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5"/>
              <c:pt idx="0">
                <c:v>2</c:v>
              </c:pt>
              <c:pt idx="1">
                <c:v>4</c:v>
              </c:pt>
              <c:pt idx="2">
                <c:v>8</c:v>
              </c:pt>
              <c:pt idx="3">
                <c:v>12</c:v>
              </c:pt>
              <c:pt idx="4">
                <c:v>16</c:v>
              </c:pt>
            </c:numLit>
          </c:cat>
          <c:val>
            <c:numRef>
              <c:f>('Mode 1'!$F$2,'Mode 1'!$F$6,'Mode 1'!$F$10,'Mode 1'!$F$14,'Mode 1'!$F$18)</c:f>
              <c:numCache>
                <c:formatCode>General</c:formatCode>
                <c:ptCount val="5"/>
                <c:pt idx="0">
                  <c:v>0.51103074141048821</c:v>
                </c:pt>
                <c:pt idx="1">
                  <c:v>1.5459518599562363</c:v>
                </c:pt>
                <c:pt idx="2">
                  <c:v>1.1152328334648776</c:v>
                </c:pt>
                <c:pt idx="3">
                  <c:v>1.0529061102831594</c:v>
                </c:pt>
                <c:pt idx="4">
                  <c:v>0.79071068830442082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2647-4A96-84DB-7F11EFC46AEF}"/>
            </c:ext>
          </c:extLst>
        </c:ser>
        <c:ser>
          <c:idx val="1"/>
          <c:order val="1"/>
          <c:tx>
            <c:v>1e-8 function 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5"/>
              <c:pt idx="0">
                <c:v>2</c:v>
              </c:pt>
              <c:pt idx="1">
                <c:v>4</c:v>
              </c:pt>
              <c:pt idx="2">
                <c:v>8</c:v>
              </c:pt>
              <c:pt idx="3">
                <c:v>12</c:v>
              </c:pt>
              <c:pt idx="4">
                <c:v>16</c:v>
              </c:pt>
            </c:numLit>
          </c:cat>
          <c:val>
            <c:numRef>
              <c:f>('Mode 1'!$F$5,'Mode 1'!$F$9,'Mode 1'!$F$13,'Mode 1'!$F$17,'Mode 1'!$F$21)</c:f>
              <c:numCache>
                <c:formatCode>General</c:formatCode>
                <c:ptCount val="5"/>
                <c:pt idx="0">
                  <c:v>0.10568155249006313</c:v>
                </c:pt>
                <c:pt idx="1">
                  <c:v>0.15239379635873229</c:v>
                </c:pt>
                <c:pt idx="2">
                  <c:v>9.3756482057664375E-2</c:v>
                </c:pt>
                <c:pt idx="3">
                  <c:v>9.9537546795859938E-2</c:v>
                </c:pt>
                <c:pt idx="4">
                  <c:v>6.020245071923281E-2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2647-4A96-84DB-7F11EFC46AEF}"/>
            </c:ext>
          </c:extLst>
        </c:ser>
        <c:ser>
          <c:idx val="2"/>
          <c:order val="2"/>
          <c:tx>
            <c:v>1e-6 function 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5"/>
              <c:pt idx="0">
                <c:v>2</c:v>
              </c:pt>
              <c:pt idx="1">
                <c:v>4</c:v>
              </c:pt>
              <c:pt idx="2">
                <c:v>8</c:v>
              </c:pt>
              <c:pt idx="3">
                <c:v>12</c:v>
              </c:pt>
              <c:pt idx="4">
                <c:v>16</c:v>
              </c:pt>
            </c:numLit>
          </c:cat>
          <c:val>
            <c:numRef>
              <c:f>('Mode 1'!$F$3,'Mode 1'!$F$7,'Mode 1'!$F$11,'Mode 1'!$F$15,'Mode 1'!$F$19)</c:f>
              <c:numCache>
                <c:formatCode>General</c:formatCode>
                <c:ptCount val="5"/>
                <c:pt idx="0">
                  <c:v>2.0359884836852205</c:v>
                </c:pt>
                <c:pt idx="1">
                  <c:v>3.598812553011026</c:v>
                </c:pt>
                <c:pt idx="2">
                  <c:v>2.8922972051806406</c:v>
                </c:pt>
                <c:pt idx="3">
                  <c:v>1.8109261630388389</c:v>
                </c:pt>
                <c:pt idx="4">
                  <c:v>1.3259375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2647-4A96-84DB-7F11EFC46AEF}"/>
            </c:ext>
          </c:extLst>
        </c:ser>
        <c:ser>
          <c:idx val="3"/>
          <c:order val="3"/>
          <c:tx>
            <c:v>1e-8 function 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5"/>
              <c:pt idx="0">
                <c:v>2</c:v>
              </c:pt>
              <c:pt idx="1">
                <c:v>4</c:v>
              </c:pt>
              <c:pt idx="2">
                <c:v>8</c:v>
              </c:pt>
              <c:pt idx="3">
                <c:v>12</c:v>
              </c:pt>
              <c:pt idx="4">
                <c:v>16</c:v>
              </c:pt>
            </c:numLit>
          </c:cat>
          <c:val>
            <c:numRef>
              <c:f>('Mode 1'!$F$4,'Mode 1'!$F$8,'Mode 1'!$F$12,'Mode 1'!$F$16,'Mode 1'!$F$20)</c:f>
              <c:numCache>
                <c:formatCode>General</c:formatCode>
                <c:ptCount val="5"/>
                <c:pt idx="0">
                  <c:v>4.4107512060647829E-2</c:v>
                </c:pt>
                <c:pt idx="1">
                  <c:v>0.11028144744399769</c:v>
                </c:pt>
                <c:pt idx="2">
                  <c:v>8.9719626168224292E-2</c:v>
                </c:pt>
                <c:pt idx="3">
                  <c:v>8.2865774708674997E-2</c:v>
                </c:pt>
                <c:pt idx="4">
                  <c:v>5.4406347407197499E-2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2647-4A96-84DB-7F11EFC46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776351"/>
        <c:axId val="1462773951"/>
      </c:lineChart>
      <c:catAx>
        <c:axId val="146277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Processes</a:t>
                </a:r>
              </a:p>
            </c:rich>
          </c:tx>
          <c:layout>
            <c:manualLayout>
              <c:xMode val="edge"/>
              <c:yMode val="edge"/>
              <c:x val="0.47423490813648295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3951"/>
        <c:crosses val="autoZero"/>
        <c:auto val="1"/>
        <c:lblAlgn val="ctr"/>
        <c:lblOffset val="100"/>
        <c:noMultiLvlLbl val="0"/>
      </c:catAx>
      <c:valAx>
        <c:axId val="14627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4395859442866"/>
          <c:y val="9.3749503829116107E-2"/>
          <c:w val="0.21619454679798658"/>
          <c:h val="0.283563644831619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accent2"/>
                </a:solidFill>
              </a:rPr>
              <a:t>Efficiency VS Processes</a:t>
            </a:r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525371828521429E-2"/>
          <c:y val="7.407407407407407E-2"/>
          <c:w val="0.8964746281714786"/>
          <c:h val="0.84204505686789155"/>
        </c:manualLayout>
      </c:layout>
      <c:lineChart>
        <c:grouping val="standard"/>
        <c:varyColors val="0"/>
        <c:ser>
          <c:idx val="1"/>
          <c:order val="0"/>
          <c:tx>
            <c:v>1e-8 function 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5"/>
              <c:pt idx="0">
                <c:v>2</c:v>
              </c:pt>
              <c:pt idx="1">
                <c:v>4</c:v>
              </c:pt>
              <c:pt idx="2">
                <c:v>8</c:v>
              </c:pt>
              <c:pt idx="3">
                <c:v>12</c:v>
              </c:pt>
              <c:pt idx="4">
                <c:v>16</c:v>
              </c:pt>
            </c:numLit>
          </c:cat>
          <c:val>
            <c:numRef>
              <c:f>('Mode 1'!$G$5,'Mode 1'!$G$9,'Mode 1'!$G$13,'Mode 1'!$G$17,'Mode 1'!$G$21)</c:f>
              <c:numCache>
                <c:formatCode>General</c:formatCode>
                <c:ptCount val="5"/>
                <c:pt idx="0">
                  <c:v>5.2840776245031567</c:v>
                </c:pt>
                <c:pt idx="1">
                  <c:v>3.8098449089683073</c:v>
                </c:pt>
                <c:pt idx="2">
                  <c:v>1.1719560257208046</c:v>
                </c:pt>
                <c:pt idx="3">
                  <c:v>0.82947955663216622</c:v>
                </c:pt>
                <c:pt idx="4">
                  <c:v>0.37626531699520505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A961-4526-B66C-0DF0D0CD342F}"/>
            </c:ext>
          </c:extLst>
        </c:ser>
        <c:ser>
          <c:idx val="2"/>
          <c:order val="1"/>
          <c:tx>
            <c:v>1e-6 function 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5"/>
              <c:pt idx="0">
                <c:v>2</c:v>
              </c:pt>
              <c:pt idx="1">
                <c:v>4</c:v>
              </c:pt>
              <c:pt idx="2">
                <c:v>8</c:v>
              </c:pt>
              <c:pt idx="3">
                <c:v>12</c:v>
              </c:pt>
              <c:pt idx="4">
                <c:v>16</c:v>
              </c:pt>
            </c:numLit>
          </c:cat>
          <c:val>
            <c:numRef>
              <c:f>('Mode 1'!$G$3,'Mode 1'!$G$7,'Mode 1'!$G$11,'Mode 1'!$G$15,'Mode 1'!$G$19)</c:f>
              <c:numCache>
                <c:formatCode>General</c:formatCode>
                <c:ptCount val="5"/>
                <c:pt idx="0">
                  <c:v>101.79942418426103</c:v>
                </c:pt>
                <c:pt idx="1">
                  <c:v>89.970313825275653</c:v>
                </c:pt>
                <c:pt idx="2">
                  <c:v>36.153715064758011</c:v>
                </c:pt>
                <c:pt idx="3">
                  <c:v>15.091051358656991</c:v>
                </c:pt>
                <c:pt idx="4">
                  <c:v>8.287109375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A961-4526-B66C-0DF0D0CD342F}"/>
            </c:ext>
          </c:extLst>
        </c:ser>
        <c:ser>
          <c:idx val="3"/>
          <c:order val="2"/>
          <c:tx>
            <c:v>1e-8 function 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5"/>
              <c:pt idx="0">
                <c:v>2</c:v>
              </c:pt>
              <c:pt idx="1">
                <c:v>4</c:v>
              </c:pt>
              <c:pt idx="2">
                <c:v>8</c:v>
              </c:pt>
              <c:pt idx="3">
                <c:v>12</c:v>
              </c:pt>
              <c:pt idx="4">
                <c:v>16</c:v>
              </c:pt>
            </c:numLit>
          </c:cat>
          <c:val>
            <c:numRef>
              <c:f>('Mode 1'!$G$4,'Mode 1'!$G$8,'Mode 1'!$G$12,'Mode 1'!$G$16,'Mode 1'!$G$20)</c:f>
              <c:numCache>
                <c:formatCode>General</c:formatCode>
                <c:ptCount val="5"/>
                <c:pt idx="0">
                  <c:v>2.2053756030323912</c:v>
                </c:pt>
                <c:pt idx="1">
                  <c:v>2.7570361860999424</c:v>
                </c:pt>
                <c:pt idx="2">
                  <c:v>1.1214953271028036</c:v>
                </c:pt>
                <c:pt idx="3">
                  <c:v>0.6905481225722917</c:v>
                </c:pt>
                <c:pt idx="4">
                  <c:v>0.34003967129498436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A961-4526-B66C-0DF0D0CD342F}"/>
            </c:ext>
          </c:extLst>
        </c:ser>
        <c:ser>
          <c:idx val="0"/>
          <c:order val="3"/>
          <c:tx>
            <c:v>1e-6 function 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5"/>
              <c:pt idx="0">
                <c:v>2</c:v>
              </c:pt>
              <c:pt idx="1">
                <c:v>4</c:v>
              </c:pt>
              <c:pt idx="2">
                <c:v>8</c:v>
              </c:pt>
              <c:pt idx="3">
                <c:v>12</c:v>
              </c:pt>
              <c:pt idx="4">
                <c:v>16</c:v>
              </c:pt>
            </c:numLit>
          </c:cat>
          <c:val>
            <c:numRef>
              <c:f>('Mode 1'!$G$2,'Mode 1'!$G$6,'Mode 1'!$G$10,'Mode 1'!$G$14,'Mode 1'!$G$18)</c:f>
              <c:numCache>
                <c:formatCode>General</c:formatCode>
                <c:ptCount val="5"/>
                <c:pt idx="0">
                  <c:v>25.551537070524411</c:v>
                </c:pt>
                <c:pt idx="1">
                  <c:v>38.648796498905909</c:v>
                </c:pt>
                <c:pt idx="2">
                  <c:v>13.94041041831097</c:v>
                </c:pt>
                <c:pt idx="3">
                  <c:v>8.7742175856929947</c:v>
                </c:pt>
                <c:pt idx="4">
                  <c:v>4.9419418019026304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3-A961-4526-B66C-0DF0D0CD3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776351"/>
        <c:axId val="1462773951"/>
      </c:lineChart>
      <c:catAx>
        <c:axId val="146277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Processes</a:t>
                </a:r>
              </a:p>
            </c:rich>
          </c:tx>
          <c:layout>
            <c:manualLayout>
              <c:xMode val="edge"/>
              <c:yMode val="edge"/>
              <c:x val="0.47423490813648295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3951"/>
        <c:crosses val="autoZero"/>
        <c:auto val="1"/>
        <c:lblAlgn val="ctr"/>
        <c:lblOffset val="100"/>
        <c:noMultiLvlLbl val="0"/>
      </c:catAx>
      <c:valAx>
        <c:axId val="14627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516723048724109"/>
          <c:y val="0.14416046563321991"/>
          <c:w val="0.21619454679798658"/>
          <c:h val="0.283563644831619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accent2"/>
                </a:solidFill>
              </a:rPr>
              <a:t>Speedup VS Threads and Processes</a:t>
            </a:r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525371828521429E-2"/>
          <c:y val="7.407407407407407E-2"/>
          <c:w val="0.8964746281714786"/>
          <c:h val="0.84204505686789155"/>
        </c:manualLayout>
      </c:layout>
      <c:lineChart>
        <c:grouping val="standard"/>
        <c:varyColors val="0"/>
        <c:ser>
          <c:idx val="0"/>
          <c:order val="0"/>
          <c:tx>
            <c:v>1e-6 function 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0"/>
                    </c:strCache>
                  </c16:filteredLitCache>
                </c:ext>
              </c:extLst>
              <c:f/>
              <c:strCache>
                <c:ptCount val="3"/>
                <c:pt idx="0">
                  <c:v>2P4T</c:v>
                </c:pt>
                <c:pt idx="1">
                  <c:v>4P2T</c:v>
                </c:pt>
                <c:pt idx="2">
                  <c:v>4P4T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('Mode 2'!$F$2,'Mode 2'!$F$6,'Mode 2'!$F$10,'Mode 2'!$F$14,'Mode 2'!$F$18)</c15:sqref>
                  </c15:fullRef>
                </c:ext>
              </c:extLst>
              <c:f>('Mode 2'!$F$2,'Mode 2'!$F$6,'Mode 2'!$F$10)</c:f>
              <c:numCache>
                <c:formatCode>General</c:formatCode>
                <c:ptCount val="3"/>
                <c:pt idx="0">
                  <c:v>0.33068102036040253</c:v>
                </c:pt>
                <c:pt idx="1">
                  <c:v>0.29266777133388566</c:v>
                </c:pt>
                <c:pt idx="2">
                  <c:v>0.2099554234769688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AD-4B55-A08F-78834126FBA0}"/>
            </c:ext>
          </c:extLst>
        </c:ser>
        <c:ser>
          <c:idx val="1"/>
          <c:order val="1"/>
          <c:tx>
            <c:v>1e-8 function 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0"/>
                    </c:strCache>
                  </c16:filteredLitCache>
                </c:ext>
              </c:extLst>
              <c:f/>
              <c:strCache>
                <c:ptCount val="3"/>
                <c:pt idx="0">
                  <c:v>2P4T</c:v>
                </c:pt>
                <c:pt idx="1">
                  <c:v>4P2T</c:v>
                </c:pt>
                <c:pt idx="2">
                  <c:v>4P4T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('Mode 2'!$F$5,'Mode 2'!$F$9,'Mode 2'!$F$13,'Mode 2'!$F$17,'Mode 2'!$F$21)</c15:sqref>
                  </c15:fullRef>
                </c:ext>
              </c:extLst>
              <c:f>('Mode 2'!$F$5,'Mode 2'!$F$9,'Mode 2'!$F$13)</c:f>
              <c:numCache>
                <c:formatCode>General</c:formatCode>
                <c:ptCount val="3"/>
                <c:pt idx="0">
                  <c:v>9.2357989374744584E-2</c:v>
                </c:pt>
                <c:pt idx="1">
                  <c:v>9.9889502762430929E-2</c:v>
                </c:pt>
                <c:pt idx="2">
                  <c:v>7.6949267960503914E-2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AD-4B55-A08F-78834126FBA0}"/>
            </c:ext>
          </c:extLst>
        </c:ser>
        <c:ser>
          <c:idx val="2"/>
          <c:order val="2"/>
          <c:tx>
            <c:v>1e-6 function 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0"/>
                    </c:strCache>
                  </c16:filteredLitCache>
                </c:ext>
              </c:extLst>
              <c:f/>
              <c:strCache>
                <c:ptCount val="3"/>
                <c:pt idx="0">
                  <c:v>2P4T</c:v>
                </c:pt>
                <c:pt idx="1">
                  <c:v>4P2T</c:v>
                </c:pt>
                <c:pt idx="2">
                  <c:v>4P4T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('Mode 2'!$F$3,'Mode 2'!$F$7,'Mode 2'!$F$11,'Mode 2'!$F$15,'Mode 2'!$F$19)</c15:sqref>
                  </c15:fullRef>
                </c:ext>
              </c:extLst>
              <c:f>('Mode 2'!$F$3,'Mode 2'!$F$7,'Mode 2'!$F$11)</c:f>
              <c:numCache>
                <c:formatCode>General</c:formatCode>
                <c:ptCount val="3"/>
                <c:pt idx="0">
                  <c:v>0.93892454082761667</c:v>
                </c:pt>
                <c:pt idx="1">
                  <c:v>0.87901388025688831</c:v>
                </c:pt>
                <c:pt idx="2">
                  <c:v>0.6730647208121826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AD-4B55-A08F-78834126FBA0}"/>
            </c:ext>
          </c:extLst>
        </c:ser>
        <c:ser>
          <c:idx val="3"/>
          <c:order val="3"/>
          <c:tx>
            <c:v>1e-8 function 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0"/>
                    </c:strCache>
                  </c16:filteredLitCache>
                </c:ext>
              </c:extLst>
              <c:f/>
              <c:strCache>
                <c:ptCount val="3"/>
                <c:pt idx="0">
                  <c:v>2P4T</c:v>
                </c:pt>
                <c:pt idx="1">
                  <c:v>4P2T</c:v>
                </c:pt>
                <c:pt idx="2">
                  <c:v>4P4T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('Mode 2'!$F$4,'Mode 2'!$F$8,'Mode 2'!$F$12,'Mode 2'!$F$16,'Mode 2'!$F$20)</c15:sqref>
                  </c15:fullRef>
                </c:ext>
              </c:extLst>
              <c:f>('Mode 2'!$F$4,'Mode 2'!$F$8,'Mode 2'!$F$12)</c:f>
              <c:numCache>
                <c:formatCode>General</c:formatCode>
                <c:ptCount val="3"/>
                <c:pt idx="0">
                  <c:v>3.6288036288036285E-2</c:v>
                </c:pt>
                <c:pt idx="1">
                  <c:v>4.0167364016736394E-2</c:v>
                </c:pt>
                <c:pt idx="2">
                  <c:v>2.8448659060601567E-2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AD-4B55-A08F-78834126F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776351"/>
        <c:axId val="1462773951"/>
      </c:lineChart>
      <c:catAx>
        <c:axId val="146277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Processes</a:t>
                </a:r>
              </a:p>
            </c:rich>
          </c:tx>
          <c:layout>
            <c:manualLayout>
              <c:xMode val="edge"/>
              <c:yMode val="edge"/>
              <c:x val="0.47423490813648295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3951"/>
        <c:crosses val="autoZero"/>
        <c:auto val="1"/>
        <c:lblAlgn val="ctr"/>
        <c:lblOffset val="100"/>
        <c:noMultiLvlLbl val="0"/>
      </c:catAx>
      <c:valAx>
        <c:axId val="14627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3165681307476896E-2"/>
          <c:y val="0.21137508137202496"/>
          <c:w val="0.21619454679798658"/>
          <c:h val="0.283563644831619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CA" b="1">
                <a:solidFill>
                  <a:schemeClr val="accent2"/>
                </a:solidFill>
              </a:rPr>
              <a:t>Efficiency VS Threads and Processes</a:t>
            </a:r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525371828521429E-2"/>
          <c:y val="7.407407407407407E-2"/>
          <c:w val="0.8964746281714786"/>
          <c:h val="0.84204505686789155"/>
        </c:manualLayout>
      </c:layout>
      <c:lineChart>
        <c:grouping val="standard"/>
        <c:varyColors val="0"/>
        <c:ser>
          <c:idx val="1"/>
          <c:order val="0"/>
          <c:tx>
            <c:v>1e-8 function 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0"/>
                    </c:strCache>
                  </c16:filteredLitCache>
                </c:ext>
              </c:extLst>
              <c:f/>
              <c:strCache>
                <c:ptCount val="3"/>
                <c:pt idx="0">
                  <c:v>2P4T</c:v>
                </c:pt>
                <c:pt idx="1">
                  <c:v>4P2T</c:v>
                </c:pt>
                <c:pt idx="2">
                  <c:v>4P4T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('Mode 2'!$G$5,'Mode 2'!$G$9,'Mode 2'!$G$13,'Mode 2'!$G$17,'Mode 2'!$G$21)</c15:sqref>
                  </c15:fullRef>
                </c:ext>
              </c:extLst>
              <c:f>('Mode 2'!$G$5,'Mode 2'!$G$9,'Mode 2'!$G$13)</c:f>
              <c:numCache>
                <c:formatCode>General</c:formatCode>
                <c:ptCount val="3"/>
                <c:pt idx="0">
                  <c:v>2.3089497343686145</c:v>
                </c:pt>
                <c:pt idx="1">
                  <c:v>4.9944751381215466</c:v>
                </c:pt>
                <c:pt idx="2">
                  <c:v>1.9237316990125979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08-4D12-9CB4-7C1F39E338B5}"/>
            </c:ext>
          </c:extLst>
        </c:ser>
        <c:ser>
          <c:idx val="2"/>
          <c:order val="1"/>
          <c:tx>
            <c:v>1e-6 function 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0"/>
                    </c:strCache>
                  </c16:filteredLitCache>
                </c:ext>
              </c:extLst>
              <c:f/>
              <c:strCache>
                <c:ptCount val="3"/>
                <c:pt idx="0">
                  <c:v>2P4T</c:v>
                </c:pt>
                <c:pt idx="1">
                  <c:v>4P2T</c:v>
                </c:pt>
                <c:pt idx="2">
                  <c:v>4P4T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('Mode 2'!$G$3,'Mode 2'!$G$7,'Mode 2'!$G$11,'Mode 2'!$G$15,'Mode 2'!$G$19)</c15:sqref>
                  </c15:fullRef>
                </c:ext>
              </c:extLst>
              <c:f>('Mode 2'!$G$3,'Mode 2'!$G$7,'Mode 2'!$G$11)</c:f>
              <c:numCache>
                <c:formatCode>General</c:formatCode>
                <c:ptCount val="3"/>
                <c:pt idx="0">
                  <c:v>23.473113520690418</c:v>
                </c:pt>
                <c:pt idx="1">
                  <c:v>43.950694012844416</c:v>
                </c:pt>
                <c:pt idx="2">
                  <c:v>16.826618020304565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08-4D12-9CB4-7C1F39E338B5}"/>
            </c:ext>
          </c:extLst>
        </c:ser>
        <c:ser>
          <c:idx val="3"/>
          <c:order val="2"/>
          <c:tx>
            <c:v>1e-8 function 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0"/>
                    </c:strCache>
                  </c16:filteredLitCache>
                </c:ext>
              </c:extLst>
              <c:f/>
              <c:strCache>
                <c:ptCount val="3"/>
                <c:pt idx="0">
                  <c:v>2P4T</c:v>
                </c:pt>
                <c:pt idx="1">
                  <c:v>4P2T</c:v>
                </c:pt>
                <c:pt idx="2">
                  <c:v>4P4T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('Mode 2'!$G$4,'Mode 2'!$G$8,'Mode 2'!$G$12,'Mode 2'!$G$16,'Mode 2'!$G$20)</c15:sqref>
                  </c15:fullRef>
                </c:ext>
              </c:extLst>
              <c:f>('Mode 2'!$G$4,'Mode 2'!$G$8,'Mode 2'!$G$12)</c:f>
              <c:numCache>
                <c:formatCode>General</c:formatCode>
                <c:ptCount val="3"/>
                <c:pt idx="0">
                  <c:v>0.90720090720090707</c:v>
                </c:pt>
                <c:pt idx="1">
                  <c:v>2.0083682008368196</c:v>
                </c:pt>
                <c:pt idx="2">
                  <c:v>0.71121647651503916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08-4D12-9CB4-7C1F39E338B5}"/>
            </c:ext>
          </c:extLst>
        </c:ser>
        <c:ser>
          <c:idx val="0"/>
          <c:order val="3"/>
          <c:tx>
            <c:v>1e-6 function 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6="http://schemas.microsoft.com/office/drawing/2014/chart" uri="{F5D05F6E-A05E-4728-AFD3-386EB277150F}">
                  <c16:filteredLitCache>
                    <c:strCache>
                      <c:ptCount val="0"/>
                    </c:strCache>
                  </c16:filteredLitCache>
                </c:ext>
              </c:extLst>
              <c:f/>
              <c:strCache>
                <c:ptCount val="3"/>
                <c:pt idx="0">
                  <c:v>2P4T</c:v>
                </c:pt>
                <c:pt idx="1">
                  <c:v>4P2T</c:v>
                </c:pt>
                <c:pt idx="2">
                  <c:v>4P4T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('Mode 2'!$G$2,'Mode 2'!$G$6,'Mode 2'!$G$10,'Mode 2'!$G$14,'Mode 2'!$G$18)</c15:sqref>
                  </c15:fullRef>
                </c:ext>
              </c:extLst>
              <c:f>('Mode 2'!$G$2,'Mode 2'!$G$6,'Mode 2'!$G$10)</c:f>
              <c:numCache>
                <c:formatCode>General</c:formatCode>
                <c:ptCount val="3"/>
                <c:pt idx="0">
                  <c:v>8.2670255090100628</c:v>
                </c:pt>
                <c:pt idx="1">
                  <c:v>14.633388566694283</c:v>
                </c:pt>
                <c:pt idx="2">
                  <c:v>5.2488855869242199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08-4D12-9CB4-7C1F39E33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776351"/>
        <c:axId val="1462773951"/>
      </c:lineChart>
      <c:catAx>
        <c:axId val="146277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Threads and</a:t>
                </a:r>
                <a:r>
                  <a:rPr lang="en-CA" baseline="0"/>
                  <a:t> </a:t>
                </a:r>
                <a:r>
                  <a:rPr lang="en-CA"/>
                  <a:t>Processes</a:t>
                </a:r>
              </a:p>
            </c:rich>
          </c:tx>
          <c:layout>
            <c:manualLayout>
              <c:xMode val="edge"/>
              <c:yMode val="edge"/>
              <c:x val="0.47423490813648295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3951"/>
        <c:crosses val="autoZero"/>
        <c:auto val="1"/>
        <c:lblAlgn val="ctr"/>
        <c:lblOffset val="100"/>
        <c:noMultiLvlLbl val="0"/>
      </c:catAx>
      <c:valAx>
        <c:axId val="146277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77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2410382312929548E-2"/>
          <c:y val="0.1231558982148433"/>
          <c:w val="0.21619454679798658"/>
          <c:h val="0.283563644831619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22</xdr:row>
      <xdr:rowOff>0</xdr:rowOff>
    </xdr:from>
    <xdr:to>
      <xdr:col>4</xdr:col>
      <xdr:colOff>491701</xdr:colOff>
      <xdr:row>37</xdr:row>
      <xdr:rowOff>165652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913E64-932E-4398-90ED-30582FD03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485775</xdr:colOff>
      <xdr:row>21</xdr:row>
      <xdr:rowOff>180975</xdr:rowOff>
    </xdr:from>
    <xdr:to>
      <xdr:col>8</xdr:col>
      <xdr:colOff>358351</xdr:colOff>
      <xdr:row>37</xdr:row>
      <xdr:rowOff>156127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4EC968-BCAC-437E-BAAA-7DAC30A2E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4</xdr:col>
      <xdr:colOff>482176</xdr:colOff>
      <xdr:row>29</xdr:row>
      <xdr:rowOff>165652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D6B999-E1A0-4F90-AE61-6A584C435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495300</xdr:colOff>
      <xdr:row>13</xdr:row>
      <xdr:rowOff>180975</xdr:rowOff>
    </xdr:from>
    <xdr:to>
      <xdr:col>8</xdr:col>
      <xdr:colOff>367876</xdr:colOff>
      <xdr:row>29</xdr:row>
      <xdr:rowOff>156127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9EE033-474A-4BB8-A94A-D0923E130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B26E-89B5-4FC9-B977-14BCAB444AE6}">
  <dimension ref="A1:L16"/>
  <sheetViews>
    <sheetView zoomScale="130" zoomScaleNormal="130" workbookViewId="0">
      <selection activeCell="E2" sqref="E2"/>
    </sheetView>
  </sheetViews>
  <sheetFormatPr defaultRowHeight="15" x14ac:dyDescent="0.25"/>
  <cols>
    <col min="1" max="1" width="12.7109375" customWidth="1"/>
    <col min="2" max="2" width="13.28515625" customWidth="1"/>
    <col min="3" max="3" width="20.140625" customWidth="1"/>
    <col min="4" max="5" width="20.5703125" customWidth="1"/>
    <col min="6" max="6" width="20.7109375" customWidth="1"/>
    <col min="7" max="7" width="21" customWidth="1"/>
    <col min="8" max="8" width="23.85546875" customWidth="1"/>
    <col min="9" max="9" width="12" customWidth="1"/>
    <col min="10" max="10" width="16.28515625" customWidth="1"/>
    <col min="11" max="11" width="6.28515625" customWidth="1"/>
    <col min="15" max="15" width="13.140625" customWidth="1"/>
    <col min="18" max="18" width="12.42578125" customWidth="1"/>
  </cols>
  <sheetData>
    <row r="1" spans="1:12" x14ac:dyDescent="0.25">
      <c r="A1" s="5"/>
      <c r="B1" s="1" t="s">
        <v>3</v>
      </c>
      <c r="C1" s="1" t="s">
        <v>4</v>
      </c>
      <c r="D1" s="1" t="s">
        <v>5</v>
      </c>
      <c r="E1" s="2" t="s">
        <v>1</v>
      </c>
      <c r="F1" s="3" t="s">
        <v>0</v>
      </c>
      <c r="G1" s="4" t="s">
        <v>2</v>
      </c>
      <c r="H1" s="10" t="s">
        <v>6</v>
      </c>
      <c r="I1" s="5"/>
      <c r="J1" s="6"/>
      <c r="K1" s="6"/>
      <c r="L1" s="7"/>
    </row>
    <row r="2" spans="1:12" x14ac:dyDescent="0.25">
      <c r="A2" s="5"/>
      <c r="B2" s="1">
        <v>1</v>
      </c>
      <c r="C2" s="8">
        <v>9.9999999999999995E-7</v>
      </c>
      <c r="D2" s="1">
        <v>0</v>
      </c>
      <c r="E2" s="2">
        <v>1.413E-5</v>
      </c>
      <c r="F2" s="3">
        <v>1</v>
      </c>
      <c r="G2" s="4">
        <f>F2/B2</f>
        <v>1</v>
      </c>
      <c r="H2" s="11">
        <v>0.4832177003</v>
      </c>
      <c r="I2" s="5"/>
      <c r="J2" s="6"/>
      <c r="K2" s="6"/>
      <c r="L2" s="7"/>
    </row>
    <row r="3" spans="1:12" x14ac:dyDescent="0.25">
      <c r="A3" s="5"/>
      <c r="B3" s="1">
        <v>1</v>
      </c>
      <c r="C3" s="8">
        <v>9.9999999999999995E-7</v>
      </c>
      <c r="D3" s="1">
        <v>1</v>
      </c>
      <c r="E3" s="2">
        <v>4.2429999999999999E-5</v>
      </c>
      <c r="F3" s="3">
        <v>1</v>
      </c>
      <c r="G3" s="4">
        <f>F3/B3</f>
        <v>1</v>
      </c>
      <c r="H3" s="11">
        <v>0.26779451720000003</v>
      </c>
      <c r="I3" s="5"/>
      <c r="J3" s="6"/>
      <c r="K3" s="6"/>
      <c r="L3" s="7"/>
    </row>
    <row r="4" spans="1:12" x14ac:dyDescent="0.25">
      <c r="A4" s="5"/>
      <c r="B4" s="1">
        <v>1</v>
      </c>
      <c r="C4" s="8">
        <v>1E-8</v>
      </c>
      <c r="D4" s="1">
        <v>0</v>
      </c>
      <c r="E4" s="2">
        <v>1.9199999999999998E-6</v>
      </c>
      <c r="F4" s="3">
        <v>1</v>
      </c>
      <c r="G4" s="4">
        <f>F4/B4</f>
        <v>1</v>
      </c>
      <c r="H4" s="11">
        <v>0.48321769549999999</v>
      </c>
      <c r="I4" s="5"/>
      <c r="J4" s="6"/>
      <c r="K4" s="6"/>
      <c r="L4" s="7"/>
    </row>
    <row r="5" spans="1:12" x14ac:dyDescent="0.25">
      <c r="A5" s="5"/>
      <c r="B5" s="1">
        <v>1</v>
      </c>
      <c r="C5" s="8">
        <v>1E-8</v>
      </c>
      <c r="D5" s="1">
        <v>1</v>
      </c>
      <c r="E5" s="2">
        <v>4.5199999999999999E-6</v>
      </c>
      <c r="F5" s="3">
        <v>1</v>
      </c>
      <c r="G5" s="4">
        <f>F5/B5</f>
        <v>1</v>
      </c>
      <c r="H5" s="11">
        <v>0.26779450459999998</v>
      </c>
      <c r="I5" s="5"/>
      <c r="J5" s="6"/>
      <c r="K5" s="6"/>
      <c r="L5" s="7"/>
    </row>
    <row r="6" spans="1:12" x14ac:dyDescent="0.25">
      <c r="A6" s="5"/>
      <c r="B6" s="5"/>
      <c r="C6" s="5"/>
      <c r="D6" s="5"/>
      <c r="E6" s="5"/>
      <c r="F6" s="5"/>
      <c r="G6" s="5"/>
      <c r="H6" s="5"/>
      <c r="I6" s="5"/>
      <c r="J6" s="6"/>
      <c r="K6" s="6"/>
    </row>
    <row r="7" spans="1:12" x14ac:dyDescent="0.25">
      <c r="A7" s="6"/>
      <c r="B7" s="6"/>
      <c r="C7" s="9"/>
      <c r="D7" s="6"/>
      <c r="E7" s="6"/>
      <c r="F7" s="6"/>
      <c r="G7" s="6"/>
      <c r="H7" s="6"/>
      <c r="I7" s="6"/>
    </row>
    <row r="8" spans="1:12" x14ac:dyDescent="0.25">
      <c r="A8" s="6"/>
      <c r="B8" s="6"/>
      <c r="C8" s="6"/>
      <c r="D8" s="6"/>
      <c r="E8" s="6"/>
      <c r="F8" s="6"/>
      <c r="G8" s="6"/>
      <c r="H8" s="6"/>
      <c r="I8" s="6"/>
    </row>
    <row r="9" spans="1:12" x14ac:dyDescent="0.25">
      <c r="A9" s="6"/>
      <c r="B9" s="6"/>
      <c r="C9" s="6"/>
      <c r="D9" s="6"/>
      <c r="E9" s="6"/>
      <c r="F9" s="6"/>
      <c r="G9" s="6"/>
      <c r="H9" s="6"/>
      <c r="I9" s="6"/>
    </row>
    <row r="10" spans="1:12" x14ac:dyDescent="0.25">
      <c r="A10" s="6"/>
      <c r="B10" s="6"/>
      <c r="C10" s="6"/>
      <c r="D10" s="6"/>
      <c r="E10" s="6"/>
      <c r="F10" s="6"/>
      <c r="G10" s="6"/>
      <c r="H10" s="6"/>
      <c r="I10" s="6"/>
    </row>
    <row r="11" spans="1:12" x14ac:dyDescent="0.25">
      <c r="A11" s="6"/>
      <c r="B11" s="6"/>
      <c r="C11" s="6"/>
      <c r="D11" s="6"/>
      <c r="E11" s="6"/>
      <c r="F11" s="6"/>
      <c r="G11" s="6"/>
      <c r="H11" s="6"/>
      <c r="I11" s="6"/>
    </row>
    <row r="12" spans="1:12" x14ac:dyDescent="0.25">
      <c r="A12" s="6"/>
      <c r="B12" s="6"/>
      <c r="C12" s="6"/>
      <c r="D12" s="6"/>
      <c r="E12" s="6"/>
      <c r="F12" s="6"/>
      <c r="G12" s="6"/>
      <c r="H12" s="6"/>
      <c r="I12" s="6"/>
    </row>
    <row r="13" spans="1:12" x14ac:dyDescent="0.25">
      <c r="A13" s="6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6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6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8E1E8-07C5-4ADD-91F5-62201AA40E70}">
  <dimension ref="A1:M26"/>
  <sheetViews>
    <sheetView zoomScaleNormal="100" workbookViewId="0">
      <selection activeCell="K27" sqref="K27"/>
    </sheetView>
  </sheetViews>
  <sheetFormatPr defaultRowHeight="15" x14ac:dyDescent="0.25"/>
  <cols>
    <col min="1" max="1" width="12.7109375" customWidth="1"/>
    <col min="2" max="2" width="13.28515625" customWidth="1"/>
    <col min="3" max="3" width="20.140625" customWidth="1"/>
    <col min="4" max="5" width="20.5703125" customWidth="1"/>
    <col min="6" max="6" width="20.7109375" customWidth="1"/>
    <col min="7" max="7" width="21" customWidth="1"/>
    <col min="8" max="8" width="27.85546875" customWidth="1"/>
    <col min="9" max="9" width="18" customWidth="1"/>
    <col min="10" max="10" width="16.28515625" customWidth="1"/>
    <col min="11" max="11" width="16.140625" customWidth="1"/>
    <col min="15" max="15" width="13.140625" customWidth="1"/>
    <col min="18" max="18" width="12.42578125" customWidth="1"/>
  </cols>
  <sheetData>
    <row r="1" spans="1:13" x14ac:dyDescent="0.25">
      <c r="A1" s="5"/>
      <c r="B1" s="1" t="s">
        <v>3</v>
      </c>
      <c r="C1" s="1" t="s">
        <v>4</v>
      </c>
      <c r="D1" s="1" t="s">
        <v>5</v>
      </c>
      <c r="E1" s="2" t="s">
        <v>1</v>
      </c>
      <c r="F1" s="3" t="s">
        <v>0</v>
      </c>
      <c r="G1" s="4" t="s">
        <v>2</v>
      </c>
      <c r="H1" s="10" t="s">
        <v>6</v>
      </c>
      <c r="I1" s="12" t="s">
        <v>7</v>
      </c>
      <c r="J1" s="13" t="s">
        <v>8</v>
      </c>
      <c r="K1" s="5"/>
      <c r="L1" s="6"/>
      <c r="M1" s="6"/>
    </row>
    <row r="2" spans="1:13" x14ac:dyDescent="0.25">
      <c r="A2" s="5"/>
      <c r="B2" s="1">
        <v>2</v>
      </c>
      <c r="C2" s="8">
        <v>9.9999999999999995E-7</v>
      </c>
      <c r="D2" s="1">
        <v>0</v>
      </c>
      <c r="E2" s="2">
        <v>2.7650000000000001E-5</v>
      </c>
      <c r="F2" s="3">
        <f>Mode0!$E$2/E2</f>
        <v>0.51103074141048821</v>
      </c>
      <c r="G2" s="4">
        <f t="shared" ref="G2:G21" si="0">F2/B2*100</f>
        <v>25.551537070524411</v>
      </c>
      <c r="H2" s="11">
        <v>0.48321770800000002</v>
      </c>
      <c r="I2" s="14">
        <v>0.4832177003</v>
      </c>
      <c r="J2" s="13">
        <f>ABS(H2-I2)</f>
        <v>7.7000000264781931E-9</v>
      </c>
      <c r="K2" s="5"/>
      <c r="L2" s="6"/>
      <c r="M2" s="6"/>
    </row>
    <row r="3" spans="1:13" x14ac:dyDescent="0.25">
      <c r="A3" s="5"/>
      <c r="B3" s="1">
        <v>2</v>
      </c>
      <c r="C3" s="8">
        <v>9.9999999999999995E-7</v>
      </c>
      <c r="D3" s="1">
        <v>1</v>
      </c>
      <c r="E3" s="2">
        <v>2.084E-5</v>
      </c>
      <c r="F3" s="3">
        <f>Mode0!$E$3/E3</f>
        <v>2.0359884836852205</v>
      </c>
      <c r="G3" s="4">
        <f t="shared" si="0"/>
        <v>101.79942418426103</v>
      </c>
      <c r="H3" s="11">
        <v>0.26779456340000002</v>
      </c>
      <c r="I3" s="14">
        <v>0.26779451720000003</v>
      </c>
      <c r="J3" s="13">
        <f t="shared" ref="J3:J21" si="1">ABS(H3-I3)</f>
        <v>4.6199999992335705E-8</v>
      </c>
      <c r="K3" s="5"/>
      <c r="L3" s="6"/>
      <c r="M3" s="6"/>
    </row>
    <row r="4" spans="1:13" x14ac:dyDescent="0.25">
      <c r="A4" s="5"/>
      <c r="B4" s="1">
        <v>2</v>
      </c>
      <c r="C4" s="8">
        <v>1E-8</v>
      </c>
      <c r="D4" s="1">
        <v>0</v>
      </c>
      <c r="E4" s="2">
        <v>4.3529999999999998E-5</v>
      </c>
      <c r="F4" s="3">
        <f>Mode0!$E$4/E4</f>
        <v>4.4107512060647829E-2</v>
      </c>
      <c r="G4" s="4">
        <f t="shared" si="0"/>
        <v>2.2053756030323912</v>
      </c>
      <c r="H4" s="11">
        <v>0.48321769549999999</v>
      </c>
      <c r="I4" s="14">
        <v>0.48321769549999999</v>
      </c>
      <c r="J4" s="13">
        <f t="shared" si="1"/>
        <v>0</v>
      </c>
      <c r="K4" s="5"/>
      <c r="L4" s="6"/>
      <c r="M4" s="6"/>
    </row>
    <row r="5" spans="1:13" x14ac:dyDescent="0.25">
      <c r="A5" s="5"/>
      <c r="B5" s="1">
        <v>2</v>
      </c>
      <c r="C5" s="8">
        <v>1E-8</v>
      </c>
      <c r="D5" s="1">
        <v>1</v>
      </c>
      <c r="E5" s="2">
        <v>4.2769999999999999E-5</v>
      </c>
      <c r="F5" s="3">
        <f>Mode0!$E$5/E5</f>
        <v>0.10568155249006313</v>
      </c>
      <c r="G5" s="4">
        <f t="shared" si="0"/>
        <v>5.2840776245031567</v>
      </c>
      <c r="H5" s="11">
        <v>0.26779450580000003</v>
      </c>
      <c r="I5" s="14">
        <v>0.26779450459999998</v>
      </c>
      <c r="J5" s="13">
        <f t="shared" si="1"/>
        <v>1.200000043777294E-9</v>
      </c>
      <c r="K5" s="5"/>
      <c r="L5" s="6"/>
      <c r="M5" s="6"/>
    </row>
    <row r="6" spans="1:13" x14ac:dyDescent="0.25">
      <c r="A6" s="5"/>
      <c r="B6" s="1">
        <v>4</v>
      </c>
      <c r="C6" s="8">
        <v>9.9999999999999995E-7</v>
      </c>
      <c r="D6" s="1">
        <v>0</v>
      </c>
      <c r="E6" s="2">
        <v>9.1400000000000006E-6</v>
      </c>
      <c r="F6" s="3">
        <f>Mode0!$E$2/E6</f>
        <v>1.5459518599562363</v>
      </c>
      <c r="G6" s="4">
        <f t="shared" ref="G6:G21" si="2">F6/B6*100</f>
        <v>38.648796498905909</v>
      </c>
      <c r="H6" s="11">
        <v>0.48321770800000002</v>
      </c>
      <c r="I6" s="14">
        <v>0.4832177003</v>
      </c>
      <c r="J6" s="13">
        <f t="shared" si="1"/>
        <v>7.7000000264781931E-9</v>
      </c>
      <c r="K6" s="5"/>
      <c r="L6" s="6"/>
      <c r="M6" s="6"/>
    </row>
    <row r="7" spans="1:13" x14ac:dyDescent="0.25">
      <c r="A7" s="5"/>
      <c r="B7" s="1">
        <v>4</v>
      </c>
      <c r="C7" s="8">
        <v>9.9999999999999995E-7</v>
      </c>
      <c r="D7" s="1">
        <v>1</v>
      </c>
      <c r="E7" s="2">
        <v>1.1790000000000001E-5</v>
      </c>
      <c r="F7" s="3">
        <f>Mode0!$E$3/E7</f>
        <v>3.598812553011026</v>
      </c>
      <c r="G7" s="4">
        <f t="shared" si="0"/>
        <v>89.970313825275653</v>
      </c>
      <c r="H7" s="11">
        <v>0.26779456340000002</v>
      </c>
      <c r="I7" s="14">
        <v>0.26779451720000003</v>
      </c>
      <c r="J7" s="13">
        <f t="shared" si="1"/>
        <v>4.6199999992335705E-8</v>
      </c>
      <c r="K7" s="5"/>
      <c r="L7" s="6"/>
      <c r="M7" s="6"/>
    </row>
    <row r="8" spans="1:13" x14ac:dyDescent="0.25">
      <c r="A8" s="5"/>
      <c r="B8" s="1">
        <v>4</v>
      </c>
      <c r="C8" s="8">
        <v>1E-8</v>
      </c>
      <c r="D8" s="1">
        <v>0</v>
      </c>
      <c r="E8" s="2">
        <v>1.7410000000000001E-5</v>
      </c>
      <c r="F8" s="3">
        <f>Mode0!$E$4/E8</f>
        <v>0.11028144744399769</v>
      </c>
      <c r="G8" s="4">
        <f t="shared" si="0"/>
        <v>2.7570361860999424</v>
      </c>
      <c r="H8" s="11">
        <v>0.48321769549999999</v>
      </c>
      <c r="I8" s="14">
        <v>0.48321769549999999</v>
      </c>
      <c r="J8" s="13">
        <f t="shared" si="1"/>
        <v>0</v>
      </c>
      <c r="K8" s="5"/>
      <c r="L8" s="6"/>
      <c r="M8" s="6"/>
    </row>
    <row r="9" spans="1:13" x14ac:dyDescent="0.25">
      <c r="A9" s="5"/>
      <c r="B9" s="1">
        <v>4</v>
      </c>
      <c r="C9" s="8">
        <v>1E-8</v>
      </c>
      <c r="D9" s="1">
        <v>1</v>
      </c>
      <c r="E9" s="2">
        <v>2.9660000000000001E-5</v>
      </c>
      <c r="F9" s="3">
        <f>Mode0!$E$5/E9</f>
        <v>0.15239379635873229</v>
      </c>
      <c r="G9" s="4">
        <f t="shared" si="0"/>
        <v>3.8098449089683073</v>
      </c>
      <c r="H9" s="11">
        <v>0.26779450580000003</v>
      </c>
      <c r="I9" s="14">
        <v>0.26779450459999998</v>
      </c>
      <c r="J9" s="13">
        <f t="shared" si="1"/>
        <v>1.200000043777294E-9</v>
      </c>
      <c r="K9" s="5"/>
      <c r="L9" s="6"/>
    </row>
    <row r="10" spans="1:13" x14ac:dyDescent="0.25">
      <c r="A10" s="5"/>
      <c r="B10" s="1">
        <v>8</v>
      </c>
      <c r="C10" s="8">
        <v>9.9999999999999995E-7</v>
      </c>
      <c r="D10" s="1">
        <v>0</v>
      </c>
      <c r="E10" s="2">
        <v>1.2670000000000001E-5</v>
      </c>
      <c r="F10" s="3">
        <f>Mode0!$E$2/E10</f>
        <v>1.1152328334648776</v>
      </c>
      <c r="G10" s="4">
        <f t="shared" si="0"/>
        <v>13.94041041831097</v>
      </c>
      <c r="H10" s="11">
        <v>0.48321770800000002</v>
      </c>
      <c r="I10" s="14">
        <v>0.4832177003</v>
      </c>
      <c r="J10" s="13">
        <f t="shared" si="1"/>
        <v>7.7000000264781931E-9</v>
      </c>
      <c r="K10" s="5"/>
      <c r="L10" s="6"/>
    </row>
    <row r="11" spans="1:13" x14ac:dyDescent="0.25">
      <c r="A11" s="5"/>
      <c r="B11" s="1">
        <v>8</v>
      </c>
      <c r="C11" s="8">
        <v>9.9999999999999995E-7</v>
      </c>
      <c r="D11" s="1">
        <v>1</v>
      </c>
      <c r="E11" s="2">
        <v>1.467E-5</v>
      </c>
      <c r="F11" s="3">
        <f>Mode0!$E$3/E11</f>
        <v>2.8922972051806406</v>
      </c>
      <c r="G11" s="4">
        <f t="shared" si="0"/>
        <v>36.153715064758011</v>
      </c>
      <c r="H11" s="11">
        <v>0.26779456340000002</v>
      </c>
      <c r="I11" s="14">
        <v>0.26779451720000003</v>
      </c>
      <c r="J11" s="13">
        <f t="shared" si="1"/>
        <v>4.6199999992335705E-8</v>
      </c>
      <c r="K11" s="5"/>
      <c r="L11" s="6"/>
    </row>
    <row r="12" spans="1:13" x14ac:dyDescent="0.25">
      <c r="A12" s="5"/>
      <c r="B12" s="1">
        <v>8</v>
      </c>
      <c r="C12" s="8">
        <v>1E-8</v>
      </c>
      <c r="D12" s="1">
        <v>0</v>
      </c>
      <c r="E12" s="2">
        <v>2.1399999999999998E-5</v>
      </c>
      <c r="F12" s="3">
        <f>Mode0!$E$4/E12</f>
        <v>8.9719626168224292E-2</v>
      </c>
      <c r="G12" s="4">
        <f t="shared" si="0"/>
        <v>1.1214953271028036</v>
      </c>
      <c r="H12" s="11">
        <v>0.48321769549999999</v>
      </c>
      <c r="I12" s="14">
        <v>0.48321769549999999</v>
      </c>
      <c r="J12" s="13">
        <f t="shared" si="1"/>
        <v>0</v>
      </c>
      <c r="K12" s="5"/>
      <c r="L12" s="6"/>
    </row>
    <row r="13" spans="1:13" x14ac:dyDescent="0.25">
      <c r="A13" s="5"/>
      <c r="B13" s="1">
        <v>8</v>
      </c>
      <c r="C13" s="8">
        <v>1E-8</v>
      </c>
      <c r="D13" s="1">
        <v>1</v>
      </c>
      <c r="E13" s="2">
        <v>4.8210000000000001E-5</v>
      </c>
      <c r="F13" s="3">
        <f>Mode0!$E$5/E13</f>
        <v>9.3756482057664375E-2</v>
      </c>
      <c r="G13" s="4">
        <f t="shared" si="0"/>
        <v>1.1719560257208046</v>
      </c>
      <c r="H13" s="11">
        <v>0.26779450580000003</v>
      </c>
      <c r="I13" s="14">
        <v>0.26779450459999998</v>
      </c>
      <c r="J13" s="13">
        <f t="shared" si="1"/>
        <v>1.200000043777294E-9</v>
      </c>
      <c r="K13" s="5"/>
      <c r="L13" s="6"/>
    </row>
    <row r="14" spans="1:13" x14ac:dyDescent="0.25">
      <c r="A14" s="5"/>
      <c r="B14" s="1">
        <v>12</v>
      </c>
      <c r="C14" s="8">
        <v>9.9999999999999995E-7</v>
      </c>
      <c r="D14" s="1">
        <v>0</v>
      </c>
      <c r="E14" s="2">
        <v>1.342E-5</v>
      </c>
      <c r="F14" s="3">
        <f>Mode0!$E$2/E14</f>
        <v>1.0529061102831594</v>
      </c>
      <c r="G14" s="4">
        <f t="shared" si="0"/>
        <v>8.7742175856929947</v>
      </c>
      <c r="H14" s="11">
        <v>0.48321770800000002</v>
      </c>
      <c r="I14" s="14">
        <v>0.4832177003</v>
      </c>
      <c r="J14" s="13">
        <f t="shared" si="1"/>
        <v>7.7000000264781931E-9</v>
      </c>
      <c r="K14" s="5"/>
      <c r="L14" s="6"/>
    </row>
    <row r="15" spans="1:13" x14ac:dyDescent="0.25">
      <c r="A15" s="5"/>
      <c r="B15" s="1">
        <v>12</v>
      </c>
      <c r="C15" s="8">
        <v>9.9999999999999995E-7</v>
      </c>
      <c r="D15" s="1">
        <v>1</v>
      </c>
      <c r="E15" s="2">
        <v>2.3430000000000001E-5</v>
      </c>
      <c r="F15" s="3">
        <f>Mode0!$E$3/E15</f>
        <v>1.8109261630388389</v>
      </c>
      <c r="G15" s="4">
        <f t="shared" si="0"/>
        <v>15.091051358656991</v>
      </c>
      <c r="H15" s="11">
        <v>0.26779456340000002</v>
      </c>
      <c r="I15" s="14">
        <v>0.26779451720000003</v>
      </c>
      <c r="J15" s="13">
        <f t="shared" si="1"/>
        <v>4.6199999992335705E-8</v>
      </c>
      <c r="K15" s="5"/>
      <c r="L15" s="6"/>
    </row>
    <row r="16" spans="1:13" x14ac:dyDescent="0.25">
      <c r="A16" s="5"/>
      <c r="B16" s="1">
        <v>12</v>
      </c>
      <c r="C16" s="8">
        <v>1E-8</v>
      </c>
      <c r="D16" s="1">
        <v>0</v>
      </c>
      <c r="E16" s="2">
        <v>2.317E-5</v>
      </c>
      <c r="F16" s="3">
        <f>Mode0!$E$4/E16</f>
        <v>8.2865774708674997E-2</v>
      </c>
      <c r="G16" s="4">
        <f t="shared" si="0"/>
        <v>0.6905481225722917</v>
      </c>
      <c r="H16" s="11">
        <v>0.48321769549999999</v>
      </c>
      <c r="I16" s="14">
        <v>0.48321769549999999</v>
      </c>
      <c r="J16" s="13">
        <f t="shared" si="1"/>
        <v>0</v>
      </c>
      <c r="K16" s="5"/>
      <c r="L16" s="6"/>
    </row>
    <row r="17" spans="1:12" x14ac:dyDescent="0.25">
      <c r="A17" s="5"/>
      <c r="B17" s="1">
        <v>12</v>
      </c>
      <c r="C17" s="8">
        <v>1E-8</v>
      </c>
      <c r="D17" s="1">
        <v>1</v>
      </c>
      <c r="E17" s="2">
        <v>4.5410000000000001E-5</v>
      </c>
      <c r="F17" s="3">
        <f>Mode0!$E$5/E17</f>
        <v>9.9537546795859938E-2</v>
      </c>
      <c r="G17" s="4">
        <f t="shared" si="0"/>
        <v>0.82947955663216622</v>
      </c>
      <c r="H17" s="11">
        <v>0.26779450580000003</v>
      </c>
      <c r="I17" s="14">
        <v>0.26779450459999998</v>
      </c>
      <c r="J17" s="13">
        <f t="shared" si="1"/>
        <v>1.200000043777294E-9</v>
      </c>
      <c r="K17" s="5"/>
      <c r="L17" s="6"/>
    </row>
    <row r="18" spans="1:12" x14ac:dyDescent="0.25">
      <c r="A18" s="5"/>
      <c r="B18" s="1">
        <v>16</v>
      </c>
      <c r="C18" s="8">
        <v>9.9999999999999995E-7</v>
      </c>
      <c r="D18" s="1">
        <v>0</v>
      </c>
      <c r="E18" s="2">
        <v>1.787E-5</v>
      </c>
      <c r="F18" s="3">
        <f>Mode0!$E$2/E18</f>
        <v>0.79071068830442082</v>
      </c>
      <c r="G18" s="4">
        <f t="shared" si="0"/>
        <v>4.9419418019026304</v>
      </c>
      <c r="H18" s="11">
        <v>0.48321770800000002</v>
      </c>
      <c r="I18" s="14">
        <v>0.4832177003</v>
      </c>
      <c r="J18" s="13">
        <f t="shared" si="1"/>
        <v>7.7000000264781931E-9</v>
      </c>
      <c r="K18" s="5"/>
      <c r="L18" s="6"/>
    </row>
    <row r="19" spans="1:12" x14ac:dyDescent="0.25">
      <c r="A19" s="5"/>
      <c r="B19" s="1">
        <v>16</v>
      </c>
      <c r="C19" s="8">
        <v>9.9999999999999995E-7</v>
      </c>
      <c r="D19" s="1">
        <v>1</v>
      </c>
      <c r="E19" s="2">
        <v>3.1999999999999999E-5</v>
      </c>
      <c r="F19" s="3">
        <f>Mode0!$E$3/E19</f>
        <v>1.3259375</v>
      </c>
      <c r="G19" s="4">
        <f t="shared" si="0"/>
        <v>8.287109375</v>
      </c>
      <c r="H19" s="11">
        <v>0.26779456340000002</v>
      </c>
      <c r="I19" s="14">
        <v>0.26779451720000003</v>
      </c>
      <c r="J19" s="13">
        <f t="shared" si="1"/>
        <v>4.6199999992335705E-8</v>
      </c>
      <c r="K19" s="5"/>
      <c r="L19" s="6"/>
    </row>
    <row r="20" spans="1:12" x14ac:dyDescent="0.25">
      <c r="A20" s="5"/>
      <c r="B20" s="1">
        <v>16</v>
      </c>
      <c r="C20" s="8">
        <v>1E-8</v>
      </c>
      <c r="D20" s="1">
        <v>0</v>
      </c>
      <c r="E20" s="2">
        <v>3.5290000000000003E-5</v>
      </c>
      <c r="F20" s="3">
        <f>Mode0!$E$4/E20</f>
        <v>5.4406347407197499E-2</v>
      </c>
      <c r="G20" s="4">
        <f t="shared" si="0"/>
        <v>0.34003967129498436</v>
      </c>
      <c r="H20" s="11">
        <v>0.48321769549999999</v>
      </c>
      <c r="I20" s="14">
        <v>0.48321769549999999</v>
      </c>
      <c r="J20" s="13">
        <f t="shared" si="1"/>
        <v>0</v>
      </c>
      <c r="K20" s="5"/>
    </row>
    <row r="21" spans="1:12" x14ac:dyDescent="0.25">
      <c r="A21" s="5"/>
      <c r="B21" s="1">
        <v>16</v>
      </c>
      <c r="C21" s="8">
        <v>1E-8</v>
      </c>
      <c r="D21" s="1">
        <v>1</v>
      </c>
      <c r="E21" s="2">
        <v>7.5080000000000006E-5</v>
      </c>
      <c r="F21" s="3">
        <f>Mode0!$E$5/E21</f>
        <v>6.020245071923281E-2</v>
      </c>
      <c r="G21" s="4">
        <f t="shared" si="0"/>
        <v>0.37626531699520505</v>
      </c>
      <c r="H21" s="11">
        <v>0.26779450580000003</v>
      </c>
      <c r="I21" s="14">
        <v>0.26779450459999998</v>
      </c>
      <c r="J21" s="13">
        <f t="shared" si="1"/>
        <v>1.200000043777294E-9</v>
      </c>
      <c r="K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2" x14ac:dyDescent="0.25">
      <c r="A23" s="6"/>
      <c r="B23" s="6"/>
      <c r="C23" s="9"/>
      <c r="D23" s="6"/>
      <c r="E23" s="6"/>
      <c r="F23" s="3" t="e">
        <f>Mode0!$E$3/E23</f>
        <v>#DIV/0!</v>
      </c>
      <c r="G23" s="6"/>
      <c r="H23" s="6"/>
      <c r="I23" s="6"/>
    </row>
    <row r="24" spans="1:12" x14ac:dyDescent="0.25">
      <c r="A24" s="6"/>
      <c r="B24" s="6"/>
      <c r="C24" s="9"/>
      <c r="D24" s="6"/>
      <c r="E24" s="6"/>
      <c r="F24" s="3" t="e">
        <f>Mode0!$E$4/E24</f>
        <v>#DIV/0!</v>
      </c>
      <c r="G24" s="6"/>
      <c r="H24" s="6"/>
      <c r="I24" s="6"/>
    </row>
    <row r="25" spans="1:12" x14ac:dyDescent="0.25">
      <c r="A25" s="6"/>
      <c r="B25" s="6"/>
      <c r="C25" s="9"/>
      <c r="D25" s="6"/>
      <c r="E25" s="6"/>
      <c r="F25" s="3" t="e">
        <f>Mode0!$E$5/E25</f>
        <v>#DIV/0!</v>
      </c>
      <c r="G25" s="6"/>
      <c r="H25" s="6"/>
      <c r="I25" s="6"/>
    </row>
    <row r="26" spans="1:12" x14ac:dyDescent="0.25">
      <c r="A26" s="6"/>
      <c r="B26" s="6"/>
      <c r="C26" s="6"/>
      <c r="D26" s="6"/>
      <c r="E26" s="6"/>
      <c r="F26" s="6"/>
      <c r="G26" s="6"/>
      <c r="H26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A6C35-2CE4-4DC1-AEFE-22A40B123DEA}">
  <dimension ref="A1:M26"/>
  <sheetViews>
    <sheetView tabSelected="1" zoomScaleNormal="100" workbookViewId="0">
      <selection activeCell="G33" sqref="G33"/>
    </sheetView>
  </sheetViews>
  <sheetFormatPr defaultRowHeight="15" x14ac:dyDescent="0.25"/>
  <cols>
    <col min="1" max="1" width="12.7109375" customWidth="1"/>
    <col min="2" max="2" width="13.28515625" customWidth="1"/>
    <col min="3" max="3" width="20.140625" customWidth="1"/>
    <col min="4" max="5" width="20.5703125" customWidth="1"/>
    <col min="6" max="6" width="20.7109375" customWidth="1"/>
    <col min="7" max="7" width="21" customWidth="1"/>
    <col min="8" max="8" width="27.85546875" customWidth="1"/>
    <col min="9" max="9" width="18" customWidth="1"/>
    <col min="10" max="10" width="16.28515625" customWidth="1"/>
    <col min="11" max="11" width="16.140625" customWidth="1"/>
    <col min="15" max="15" width="13.140625" customWidth="1"/>
    <col min="18" max="18" width="12.42578125" customWidth="1"/>
  </cols>
  <sheetData>
    <row r="1" spans="1:13" x14ac:dyDescent="0.25">
      <c r="A1" s="1" t="s">
        <v>3</v>
      </c>
      <c r="B1" s="1" t="s">
        <v>9</v>
      </c>
      <c r="C1" s="1" t="s">
        <v>4</v>
      </c>
      <c r="D1" s="1" t="s">
        <v>5</v>
      </c>
      <c r="E1" s="2" t="s">
        <v>1</v>
      </c>
      <c r="F1" s="3" t="s">
        <v>0</v>
      </c>
      <c r="G1" s="4" t="s">
        <v>2</v>
      </c>
      <c r="H1" s="10" t="s">
        <v>6</v>
      </c>
      <c r="I1" s="12" t="s">
        <v>7</v>
      </c>
      <c r="J1" s="13" t="s">
        <v>8</v>
      </c>
      <c r="K1" s="5"/>
      <c r="L1" s="6"/>
      <c r="M1" s="6"/>
    </row>
    <row r="2" spans="1:13" x14ac:dyDescent="0.25">
      <c r="A2" s="1">
        <v>2</v>
      </c>
      <c r="B2" s="1">
        <v>4</v>
      </c>
      <c r="C2" s="8">
        <v>9.9999999999999995E-7</v>
      </c>
      <c r="D2" s="1">
        <v>0</v>
      </c>
      <c r="E2" s="2">
        <v>4.2729999999999999E-5</v>
      </c>
      <c r="F2" s="3">
        <f>Mode0!$E$2/E2</f>
        <v>0.33068102036040253</v>
      </c>
      <c r="G2" s="4">
        <f t="shared" ref="G2:G13" si="0">F2/B2*100</f>
        <v>8.2670255090100628</v>
      </c>
      <c r="H2" s="11">
        <v>0.48321770060000002</v>
      </c>
      <c r="I2" s="14">
        <v>0.4832177003</v>
      </c>
      <c r="J2" s="13">
        <f>ABS(H2-I2)</f>
        <v>3.000000248221113E-10</v>
      </c>
      <c r="K2" s="5"/>
      <c r="L2" s="6"/>
      <c r="M2" s="6"/>
    </row>
    <row r="3" spans="1:13" x14ac:dyDescent="0.25">
      <c r="A3" s="1">
        <v>2</v>
      </c>
      <c r="B3" s="1">
        <v>4</v>
      </c>
      <c r="C3" s="8">
        <v>9.9999999999999995E-7</v>
      </c>
      <c r="D3" s="1">
        <v>1</v>
      </c>
      <c r="E3" s="2">
        <v>4.5189999999999999E-5</v>
      </c>
      <c r="F3" s="3">
        <f>Mode0!$E$3/E3</f>
        <v>0.93892454082761667</v>
      </c>
      <c r="G3" s="4">
        <f t="shared" si="0"/>
        <v>23.473113520690418</v>
      </c>
      <c r="H3" s="11">
        <v>0.26779459880000001</v>
      </c>
      <c r="I3" s="14">
        <v>0.26779451720000003</v>
      </c>
      <c r="J3" s="13">
        <f t="shared" ref="J3:J21" si="1">ABS(H3-I3)</f>
        <v>8.1599999979253823E-8</v>
      </c>
      <c r="K3" s="5"/>
      <c r="L3" s="6"/>
      <c r="M3" s="6"/>
    </row>
    <row r="4" spans="1:13" x14ac:dyDescent="0.25">
      <c r="A4" s="1">
        <v>2</v>
      </c>
      <c r="B4" s="1">
        <v>4</v>
      </c>
      <c r="C4" s="8">
        <v>1E-8</v>
      </c>
      <c r="D4" s="1">
        <v>0</v>
      </c>
      <c r="E4" s="2">
        <v>5.291E-5</v>
      </c>
      <c r="F4" s="3">
        <f>Mode0!$E$4/E4</f>
        <v>3.6288036288036285E-2</v>
      </c>
      <c r="G4" s="4">
        <f t="shared" si="0"/>
        <v>0.90720090720090707</v>
      </c>
      <c r="H4" s="11">
        <v>0.48321769530000003</v>
      </c>
      <c r="I4" s="14">
        <v>0.48321769549999999</v>
      </c>
      <c r="J4" s="13">
        <f t="shared" si="1"/>
        <v>1.9999996103692297E-10</v>
      </c>
      <c r="K4" s="5"/>
      <c r="L4" s="6"/>
      <c r="M4" s="6"/>
    </row>
    <row r="5" spans="1:13" x14ac:dyDescent="0.25">
      <c r="A5" s="1">
        <v>2</v>
      </c>
      <c r="B5" s="1">
        <v>4</v>
      </c>
      <c r="C5" s="8">
        <v>1E-8</v>
      </c>
      <c r="D5" s="1">
        <v>1</v>
      </c>
      <c r="E5" s="2">
        <v>4.8940000000000002E-5</v>
      </c>
      <c r="F5" s="3">
        <f>Mode0!$E$5/E5</f>
        <v>9.2357989374744584E-2</v>
      </c>
      <c r="G5" s="4">
        <f t="shared" si="0"/>
        <v>2.3089497343686145</v>
      </c>
      <c r="H5" s="11">
        <v>0.26779450560000001</v>
      </c>
      <c r="I5" s="14">
        <v>0.26779450459999998</v>
      </c>
      <c r="J5" s="13">
        <f t="shared" si="1"/>
        <v>1.0000000272292198E-9</v>
      </c>
      <c r="K5" s="5"/>
      <c r="L5" s="6"/>
      <c r="M5" s="6"/>
    </row>
    <row r="6" spans="1:13" x14ac:dyDescent="0.25">
      <c r="A6" s="1">
        <v>4</v>
      </c>
      <c r="B6" s="1">
        <v>2</v>
      </c>
      <c r="C6" s="8">
        <v>9.9999999999999995E-7</v>
      </c>
      <c r="D6" s="1">
        <v>0</v>
      </c>
      <c r="E6" s="2">
        <v>4.8279999999999999E-5</v>
      </c>
      <c r="F6" s="3">
        <f>Mode0!$E$2/E6</f>
        <v>0.29266777133388566</v>
      </c>
      <c r="G6" s="4">
        <f t="shared" si="0"/>
        <v>14.633388566694283</v>
      </c>
      <c r="H6" s="11">
        <v>0.48321770060000002</v>
      </c>
      <c r="I6" s="14">
        <v>0.4832177003</v>
      </c>
      <c r="J6" s="13">
        <f t="shared" si="1"/>
        <v>3.000000248221113E-10</v>
      </c>
      <c r="K6" s="5"/>
      <c r="L6" s="6"/>
      <c r="M6" s="6"/>
    </row>
    <row r="7" spans="1:13" x14ac:dyDescent="0.25">
      <c r="A7" s="1">
        <v>4</v>
      </c>
      <c r="B7" s="1">
        <v>2</v>
      </c>
      <c r="C7" s="8">
        <v>9.9999999999999995E-7</v>
      </c>
      <c r="D7" s="1">
        <v>1</v>
      </c>
      <c r="E7" s="2">
        <v>4.8269999999999997E-5</v>
      </c>
      <c r="F7" s="3">
        <f>Mode0!$E$3/E7</f>
        <v>0.87901388025688831</v>
      </c>
      <c r="G7" s="4">
        <f t="shared" si="0"/>
        <v>43.950694012844416</v>
      </c>
      <c r="H7" s="11">
        <v>0.26779459880000001</v>
      </c>
      <c r="I7" s="14">
        <v>0.26779451720000003</v>
      </c>
      <c r="J7" s="13">
        <f t="shared" si="1"/>
        <v>8.1599999979253823E-8</v>
      </c>
      <c r="K7" s="5"/>
      <c r="L7" s="6"/>
      <c r="M7" s="6"/>
    </row>
    <row r="8" spans="1:13" x14ac:dyDescent="0.25">
      <c r="A8" s="1">
        <v>4</v>
      </c>
      <c r="B8" s="1">
        <v>2</v>
      </c>
      <c r="C8" s="8">
        <v>1E-8</v>
      </c>
      <c r="D8" s="1">
        <v>0</v>
      </c>
      <c r="E8" s="2">
        <v>4.7800000000000003E-5</v>
      </c>
      <c r="F8" s="3">
        <f>Mode0!$E$4/E8</f>
        <v>4.0167364016736394E-2</v>
      </c>
      <c r="G8" s="4">
        <f t="shared" si="0"/>
        <v>2.0083682008368196</v>
      </c>
      <c r="H8" s="11">
        <v>0.48321769530000003</v>
      </c>
      <c r="I8" s="14">
        <v>0.48321769549999999</v>
      </c>
      <c r="J8" s="13">
        <f t="shared" si="1"/>
        <v>1.9999996103692297E-10</v>
      </c>
      <c r="K8" s="5"/>
      <c r="L8" s="6"/>
      <c r="M8" s="6"/>
    </row>
    <row r="9" spans="1:13" x14ac:dyDescent="0.25">
      <c r="A9" s="1">
        <v>4</v>
      </c>
      <c r="B9" s="1">
        <v>2</v>
      </c>
      <c r="C9" s="8">
        <v>1E-8</v>
      </c>
      <c r="D9" s="1">
        <v>1</v>
      </c>
      <c r="E9" s="2">
        <v>4.5250000000000002E-5</v>
      </c>
      <c r="F9" s="3">
        <f>Mode0!$E$5/E9</f>
        <v>9.9889502762430929E-2</v>
      </c>
      <c r="G9" s="4">
        <f t="shared" si="0"/>
        <v>4.9944751381215466</v>
      </c>
      <c r="H9" s="11">
        <v>0.26779450560000001</v>
      </c>
      <c r="I9" s="14">
        <v>0.26779450459999998</v>
      </c>
      <c r="J9" s="13">
        <f t="shared" si="1"/>
        <v>1.0000000272292198E-9</v>
      </c>
      <c r="K9" s="5"/>
      <c r="L9" s="6"/>
    </row>
    <row r="10" spans="1:13" x14ac:dyDescent="0.25">
      <c r="A10" s="1">
        <v>4</v>
      </c>
      <c r="B10" s="1">
        <v>4</v>
      </c>
      <c r="C10" s="8">
        <v>9.9999999999999995E-7</v>
      </c>
      <c r="D10" s="1">
        <v>0</v>
      </c>
      <c r="E10" s="2">
        <v>6.7299999999999996E-5</v>
      </c>
      <c r="F10" s="3">
        <f>Mode0!$E$2/E10</f>
        <v>0.2099554234769688</v>
      </c>
      <c r="G10" s="4">
        <f t="shared" si="0"/>
        <v>5.2488855869242199</v>
      </c>
      <c r="H10" s="11">
        <v>0.48321770060000002</v>
      </c>
      <c r="I10" s="14">
        <v>0.4832177003</v>
      </c>
      <c r="J10" s="13">
        <f t="shared" si="1"/>
        <v>3.000000248221113E-10</v>
      </c>
      <c r="K10" s="5"/>
      <c r="L10" s="6"/>
    </row>
    <row r="11" spans="1:13" x14ac:dyDescent="0.25">
      <c r="A11" s="1">
        <v>4</v>
      </c>
      <c r="B11" s="1">
        <v>4</v>
      </c>
      <c r="C11" s="8">
        <v>9.9999999999999995E-7</v>
      </c>
      <c r="D11" s="1">
        <v>1</v>
      </c>
      <c r="E11" s="2">
        <v>6.3040000000000006E-5</v>
      </c>
      <c r="F11" s="3">
        <f>Mode0!$E$3/E11</f>
        <v>0.6730647208121826</v>
      </c>
      <c r="G11" s="4">
        <f t="shared" si="0"/>
        <v>16.826618020304565</v>
      </c>
      <c r="H11" s="11">
        <v>0.26779459880000001</v>
      </c>
      <c r="I11" s="14">
        <v>0.26779451720000003</v>
      </c>
      <c r="J11" s="13">
        <f t="shared" si="1"/>
        <v>8.1599999979253823E-8</v>
      </c>
      <c r="K11" s="5"/>
      <c r="L11" s="6"/>
    </row>
    <row r="12" spans="1:13" x14ac:dyDescent="0.25">
      <c r="A12" s="1">
        <v>4</v>
      </c>
      <c r="B12" s="1">
        <v>4</v>
      </c>
      <c r="C12" s="8">
        <v>1E-8</v>
      </c>
      <c r="D12" s="1">
        <v>0</v>
      </c>
      <c r="E12" s="2">
        <v>6.7490000000000006E-5</v>
      </c>
      <c r="F12" s="3">
        <f>Mode0!$E$4/E12</f>
        <v>2.8448659060601567E-2</v>
      </c>
      <c r="G12" s="4">
        <f t="shared" si="0"/>
        <v>0.71121647651503916</v>
      </c>
      <c r="H12" s="11">
        <v>0.48321769530000003</v>
      </c>
      <c r="I12" s="14">
        <v>0.48321769549999999</v>
      </c>
      <c r="J12" s="13">
        <f t="shared" si="1"/>
        <v>1.9999996103692297E-10</v>
      </c>
      <c r="K12" s="5"/>
      <c r="L12" s="6"/>
    </row>
    <row r="13" spans="1:13" x14ac:dyDescent="0.25">
      <c r="A13" s="1">
        <v>4</v>
      </c>
      <c r="B13" s="1">
        <v>4</v>
      </c>
      <c r="C13" s="8">
        <v>1E-8</v>
      </c>
      <c r="D13" s="1">
        <v>1</v>
      </c>
      <c r="E13" s="2">
        <v>5.8739999999999997E-5</v>
      </c>
      <c r="F13" s="3">
        <f>Mode0!$E$5/E13</f>
        <v>7.6949267960503914E-2</v>
      </c>
      <c r="G13" s="4">
        <f t="shared" si="0"/>
        <v>1.9237316990125979</v>
      </c>
      <c r="H13" s="11">
        <v>0.26779450560000001</v>
      </c>
      <c r="I13" s="14">
        <v>0.26779450459999998</v>
      </c>
      <c r="J13" s="13">
        <f t="shared" si="1"/>
        <v>1.0000000272292198E-9</v>
      </c>
      <c r="K13" s="5"/>
      <c r="L13" s="6"/>
    </row>
    <row r="14" spans="1:1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</row>
    <row r="15" spans="1:13" x14ac:dyDescent="0.25">
      <c r="A15" s="15"/>
      <c r="B15" s="15"/>
      <c r="C15" s="16"/>
      <c r="D15" s="15"/>
      <c r="E15" s="15"/>
      <c r="F15" s="15"/>
      <c r="G15" s="15"/>
      <c r="H15" s="17"/>
      <c r="I15" s="17"/>
      <c r="J15" s="15"/>
      <c r="K15" s="15"/>
      <c r="L15" s="6"/>
    </row>
    <row r="16" spans="1:13" x14ac:dyDescent="0.25">
      <c r="A16" s="15"/>
      <c r="B16" s="15"/>
      <c r="C16" s="16"/>
      <c r="D16" s="15"/>
      <c r="E16" s="15"/>
      <c r="F16" s="15"/>
      <c r="G16" s="15"/>
      <c r="H16" s="17"/>
      <c r="I16" s="17"/>
      <c r="J16" s="15"/>
      <c r="K16" s="15"/>
      <c r="L16" s="6"/>
    </row>
    <row r="17" spans="1:12" x14ac:dyDescent="0.25">
      <c r="A17" s="15"/>
      <c r="B17" s="15"/>
      <c r="C17" s="16"/>
      <c r="D17" s="15"/>
      <c r="E17" s="15"/>
      <c r="F17" s="15"/>
      <c r="G17" s="15"/>
      <c r="H17" s="17"/>
      <c r="I17" s="17"/>
      <c r="J17" s="15"/>
      <c r="K17" s="15"/>
      <c r="L17" s="6"/>
    </row>
    <row r="18" spans="1:12" x14ac:dyDescent="0.25">
      <c r="A18" s="15"/>
      <c r="B18" s="15"/>
      <c r="C18" s="16"/>
      <c r="D18" s="15"/>
      <c r="E18" s="15"/>
      <c r="F18" s="15"/>
      <c r="G18" s="15"/>
      <c r="H18" s="17"/>
      <c r="I18" s="17"/>
      <c r="J18" s="15"/>
      <c r="K18" s="15"/>
      <c r="L18" s="6"/>
    </row>
    <row r="19" spans="1:12" x14ac:dyDescent="0.25">
      <c r="A19" s="15"/>
      <c r="B19" s="15"/>
      <c r="C19" s="16"/>
      <c r="D19" s="15"/>
      <c r="E19" s="15"/>
      <c r="F19" s="15"/>
      <c r="G19" s="15"/>
      <c r="H19" s="17"/>
      <c r="I19" s="17"/>
      <c r="J19" s="15"/>
      <c r="K19" s="15"/>
      <c r="L19" s="6"/>
    </row>
    <row r="20" spans="1:12" x14ac:dyDescent="0.25">
      <c r="A20" s="15"/>
      <c r="B20" s="15"/>
      <c r="C20" s="16"/>
      <c r="D20" s="15"/>
      <c r="E20" s="15"/>
      <c r="F20" s="15"/>
      <c r="G20" s="15"/>
      <c r="H20" s="17"/>
      <c r="I20" s="17"/>
      <c r="J20" s="15"/>
      <c r="K20" s="15"/>
    </row>
    <row r="21" spans="1:12" x14ac:dyDescent="0.25">
      <c r="A21" s="15"/>
      <c r="B21" s="15"/>
      <c r="C21" s="16"/>
      <c r="D21" s="15"/>
      <c r="E21" s="15"/>
      <c r="F21" s="15"/>
      <c r="G21" s="15"/>
      <c r="H21" s="17"/>
      <c r="I21" s="17"/>
      <c r="J21" s="15"/>
      <c r="K21" s="15"/>
    </row>
    <row r="22" spans="1:12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2" x14ac:dyDescent="0.25">
      <c r="A23" s="6"/>
      <c r="B23" s="6"/>
      <c r="C23" s="9"/>
      <c r="D23" s="6"/>
      <c r="E23" s="6"/>
      <c r="F23" s="6"/>
      <c r="G23" s="6"/>
      <c r="H23" s="6"/>
      <c r="I23" s="6"/>
    </row>
    <row r="24" spans="1:12" x14ac:dyDescent="0.25">
      <c r="A24" s="6"/>
      <c r="B24" s="6"/>
      <c r="C24" s="9"/>
      <c r="D24" s="6"/>
      <c r="E24" s="6"/>
      <c r="F24" s="6"/>
      <c r="G24" s="6"/>
      <c r="H24" s="6"/>
      <c r="I24" s="6"/>
    </row>
    <row r="25" spans="1:12" x14ac:dyDescent="0.25">
      <c r="A25" s="6"/>
      <c r="B25" s="6"/>
      <c r="C25" s="9"/>
      <c r="D25" s="6"/>
      <c r="E25" s="6"/>
      <c r="F25" s="6"/>
      <c r="G25" s="6"/>
      <c r="H25" s="6"/>
      <c r="I25" s="6"/>
    </row>
    <row r="26" spans="1:12" x14ac:dyDescent="0.25">
      <c r="A26" s="6"/>
      <c r="B26" s="6"/>
      <c r="C26" s="6"/>
      <c r="D26" s="6"/>
      <c r="E26" s="6"/>
      <c r="F26" s="6"/>
      <c r="G26" s="6"/>
      <c r="H26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Mode0</vt:lpstr>
      <vt:lpstr>Mode 1</vt:lpstr>
      <vt:lpstr>Mode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Mark Bourque</dc:creator>
  <cp:lastModifiedBy>Jordan Mark Bourque</cp:lastModifiedBy>
  <dcterms:created xsi:type="dcterms:W3CDTF">2026-02-26T18:36:21Z</dcterms:created>
  <dcterms:modified xsi:type="dcterms:W3CDTF">2026-04-05T18:21:23Z</dcterms:modified>
</cp:coreProperties>
</file>