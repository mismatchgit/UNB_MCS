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\Desktop\Winter 2026 Courses\Parallel Processing\Assignments\A1\"/>
    </mc:Choice>
  </mc:AlternateContent>
  <xr:revisionPtr revIDLastSave="0" documentId="13_ncr:1_{059E92CF-A5ED-4786-950D-578743C04525}" xr6:coauthVersionLast="47" xr6:coauthVersionMax="47" xr10:uidLastSave="{00000000-0000-0000-0000-000000000000}"/>
  <bookViews>
    <workbookView xWindow="-120" yWindow="-120" windowWidth="29040" windowHeight="15720" activeTab="1" xr2:uid="{92523B68-99DE-4663-9EB4-C99DF29C1E17}"/>
  </bookViews>
  <sheets>
    <sheet name="Comparison Graphs" sheetId="10" r:id="rId1"/>
    <sheet name="Mode 0" sheetId="2" r:id="rId2"/>
    <sheet name="Mode 1" sheetId="3" r:id="rId3"/>
    <sheet name="Mode 2" sheetId="4" r:id="rId4"/>
    <sheet name="Mode 3" sheetId="5" r:id="rId5"/>
    <sheet name="Mode 4" sheetId="6" r:id="rId6"/>
    <sheet name="Mode 5" sheetId="7" r:id="rId7"/>
    <sheet name="Mode 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" i="4" l="1"/>
  <c r="R27" i="4"/>
  <c r="R26" i="4"/>
  <c r="R24" i="4"/>
  <c r="R23" i="4"/>
  <c r="R22" i="4"/>
  <c r="R20" i="4"/>
  <c r="R19" i="4"/>
  <c r="R18" i="4"/>
  <c r="R16" i="4"/>
  <c r="R15" i="4"/>
  <c r="R14" i="4"/>
  <c r="R12" i="4"/>
  <c r="R11" i="4"/>
  <c r="R10" i="4"/>
  <c r="R8" i="4"/>
  <c r="R7" i="4"/>
  <c r="R6" i="4"/>
  <c r="R4" i="4"/>
  <c r="R3" i="4"/>
  <c r="R2" i="4"/>
  <c r="O4" i="2"/>
  <c r="Q12" i="6" s="1"/>
  <c r="R12" i="6" s="1"/>
  <c r="O28" i="8"/>
  <c r="R27" i="8"/>
  <c r="Q27" i="8"/>
  <c r="O27" i="8"/>
  <c r="R26" i="8"/>
  <c r="Q26" i="8"/>
  <c r="O26" i="8"/>
  <c r="Q24" i="8"/>
  <c r="R24" i="8" s="1"/>
  <c r="O24" i="8"/>
  <c r="R23" i="8"/>
  <c r="Q23" i="8"/>
  <c r="O23" i="8"/>
  <c r="R22" i="8"/>
  <c r="Q22" i="8"/>
  <c r="O22" i="8"/>
  <c r="Q20" i="8"/>
  <c r="R20" i="8" s="1"/>
  <c r="O20" i="8"/>
  <c r="R19" i="8"/>
  <c r="Q19" i="8"/>
  <c r="O19" i="8"/>
  <c r="R18" i="8"/>
  <c r="Q18" i="8"/>
  <c r="O18" i="8"/>
  <c r="Q16" i="8"/>
  <c r="R16" i="8" s="1"/>
  <c r="O16" i="8"/>
  <c r="R15" i="8"/>
  <c r="Q15" i="8"/>
  <c r="O15" i="8"/>
  <c r="R14" i="8"/>
  <c r="Q14" i="8"/>
  <c r="O14" i="8"/>
  <c r="Q12" i="8"/>
  <c r="R12" i="8" s="1"/>
  <c r="O12" i="8"/>
  <c r="R11" i="8"/>
  <c r="Q11" i="8"/>
  <c r="O11" i="8"/>
  <c r="R10" i="8"/>
  <c r="Q10" i="8"/>
  <c r="O10" i="8"/>
  <c r="Q8" i="8"/>
  <c r="R8" i="8" s="1"/>
  <c r="O8" i="8"/>
  <c r="R7" i="8"/>
  <c r="Q7" i="8"/>
  <c r="O7" i="8"/>
  <c r="R6" i="8"/>
  <c r="Q6" i="8"/>
  <c r="O6" i="8"/>
  <c r="Q4" i="8"/>
  <c r="R4" i="8" s="1"/>
  <c r="O4" i="8"/>
  <c r="R3" i="8"/>
  <c r="Q3" i="8"/>
  <c r="O3" i="8"/>
  <c r="R2" i="8"/>
  <c r="Q2" i="8"/>
  <c r="O2" i="8"/>
  <c r="Q4" i="7"/>
  <c r="R4" i="7" s="1"/>
  <c r="O4" i="7"/>
  <c r="R3" i="7"/>
  <c r="Q3" i="7"/>
  <c r="O3" i="7"/>
  <c r="R2" i="7"/>
  <c r="Q2" i="7"/>
  <c r="O2" i="7"/>
  <c r="Q28" i="6"/>
  <c r="R28" i="6" s="1"/>
  <c r="O28" i="6"/>
  <c r="R27" i="6"/>
  <c r="Q27" i="6"/>
  <c r="O27" i="6"/>
  <c r="R26" i="6"/>
  <c r="Q26" i="6"/>
  <c r="O26" i="6"/>
  <c r="Q24" i="6"/>
  <c r="R24" i="6" s="1"/>
  <c r="O24" i="6"/>
  <c r="R23" i="6"/>
  <c r="Q23" i="6"/>
  <c r="O23" i="6"/>
  <c r="R22" i="6"/>
  <c r="Q22" i="6"/>
  <c r="O22" i="6"/>
  <c r="Q20" i="6"/>
  <c r="R20" i="6" s="1"/>
  <c r="O20" i="6"/>
  <c r="R19" i="6"/>
  <c r="Q19" i="6"/>
  <c r="O19" i="6"/>
  <c r="R18" i="6"/>
  <c r="Q18" i="6"/>
  <c r="O18" i="6"/>
  <c r="Q16" i="6"/>
  <c r="R16" i="6" s="1"/>
  <c r="O16" i="6"/>
  <c r="R15" i="6"/>
  <c r="Q15" i="6"/>
  <c r="O15" i="6"/>
  <c r="R14" i="6"/>
  <c r="Q14" i="6"/>
  <c r="O14" i="6"/>
  <c r="O12" i="6"/>
  <c r="R11" i="6"/>
  <c r="Q11" i="6"/>
  <c r="O11" i="6"/>
  <c r="R10" i="6"/>
  <c r="Q10" i="6"/>
  <c r="O10" i="6"/>
  <c r="Q8" i="6"/>
  <c r="R8" i="6" s="1"/>
  <c r="O8" i="6"/>
  <c r="R7" i="6"/>
  <c r="Q7" i="6"/>
  <c r="O7" i="6"/>
  <c r="R6" i="6"/>
  <c r="Q6" i="6"/>
  <c r="O6" i="6"/>
  <c r="Q4" i="6"/>
  <c r="R4" i="6" s="1"/>
  <c r="O4" i="6"/>
  <c r="R3" i="6"/>
  <c r="Q3" i="6"/>
  <c r="O3" i="6"/>
  <c r="R2" i="6"/>
  <c r="Q2" i="6"/>
  <c r="O2" i="6"/>
  <c r="U28" i="5"/>
  <c r="X28" i="5" s="1"/>
  <c r="T28" i="5"/>
  <c r="W28" i="5" s="1"/>
  <c r="S28" i="5"/>
  <c r="V28" i="5" s="1"/>
  <c r="Q28" i="5"/>
  <c r="P28" i="5"/>
  <c r="O28" i="5"/>
  <c r="X27" i="5"/>
  <c r="W27" i="5"/>
  <c r="V27" i="5"/>
  <c r="U27" i="5"/>
  <c r="T27" i="5"/>
  <c r="S27" i="5"/>
  <c r="Q27" i="5"/>
  <c r="P27" i="5"/>
  <c r="O27" i="5"/>
  <c r="X26" i="5"/>
  <c r="W26" i="5"/>
  <c r="V26" i="5"/>
  <c r="U26" i="5"/>
  <c r="T26" i="5"/>
  <c r="S26" i="5"/>
  <c r="Q26" i="5"/>
  <c r="P26" i="5"/>
  <c r="O26" i="5"/>
  <c r="U24" i="5"/>
  <c r="X24" i="5" s="1"/>
  <c r="T24" i="5"/>
  <c r="W24" i="5" s="1"/>
  <c r="S24" i="5"/>
  <c r="V24" i="5" s="1"/>
  <c r="Q24" i="5"/>
  <c r="P24" i="5"/>
  <c r="O24" i="5"/>
  <c r="X23" i="5"/>
  <c r="W23" i="5"/>
  <c r="V23" i="5"/>
  <c r="U23" i="5"/>
  <c r="T23" i="5"/>
  <c r="S23" i="5"/>
  <c r="Q23" i="5"/>
  <c r="P23" i="5"/>
  <c r="O23" i="5"/>
  <c r="X22" i="5"/>
  <c r="W22" i="5"/>
  <c r="V22" i="5"/>
  <c r="U22" i="5"/>
  <c r="T22" i="5"/>
  <c r="S22" i="5"/>
  <c r="Q22" i="5"/>
  <c r="P22" i="5"/>
  <c r="O22" i="5"/>
  <c r="U20" i="5"/>
  <c r="X20" i="5" s="1"/>
  <c r="S20" i="5"/>
  <c r="V20" i="5" s="1"/>
  <c r="Q20" i="5"/>
  <c r="P20" i="5"/>
  <c r="O20" i="5"/>
  <c r="X19" i="5"/>
  <c r="W19" i="5"/>
  <c r="V19" i="5"/>
  <c r="U19" i="5"/>
  <c r="T19" i="5"/>
  <c r="S19" i="5"/>
  <c r="Q19" i="5"/>
  <c r="P19" i="5"/>
  <c r="O19" i="5"/>
  <c r="X18" i="5"/>
  <c r="W18" i="5"/>
  <c r="V18" i="5"/>
  <c r="U18" i="5"/>
  <c r="T18" i="5"/>
  <c r="S18" i="5"/>
  <c r="Q18" i="5"/>
  <c r="P18" i="5"/>
  <c r="O18" i="5"/>
  <c r="U16" i="5"/>
  <c r="X16" i="5" s="1"/>
  <c r="T16" i="5"/>
  <c r="W16" i="5" s="1"/>
  <c r="S16" i="5"/>
  <c r="V16" i="5" s="1"/>
  <c r="Q16" i="5"/>
  <c r="P16" i="5"/>
  <c r="O16" i="5"/>
  <c r="X15" i="5"/>
  <c r="W15" i="5"/>
  <c r="V15" i="5"/>
  <c r="U15" i="5"/>
  <c r="T15" i="5"/>
  <c r="S15" i="5"/>
  <c r="Q15" i="5"/>
  <c r="P15" i="5"/>
  <c r="O15" i="5"/>
  <c r="X14" i="5"/>
  <c r="W14" i="5"/>
  <c r="V14" i="5"/>
  <c r="U14" i="5"/>
  <c r="T14" i="5"/>
  <c r="S14" i="5"/>
  <c r="Q14" i="5"/>
  <c r="P14" i="5"/>
  <c r="O14" i="5"/>
  <c r="W12" i="5"/>
  <c r="U12" i="5"/>
  <c r="X12" i="5" s="1"/>
  <c r="T12" i="5"/>
  <c r="S12" i="5"/>
  <c r="V12" i="5" s="1"/>
  <c r="Q12" i="5"/>
  <c r="P12" i="5"/>
  <c r="O12" i="5"/>
  <c r="X11" i="5"/>
  <c r="W11" i="5"/>
  <c r="V11" i="5"/>
  <c r="U11" i="5"/>
  <c r="T11" i="5"/>
  <c r="S11" i="5"/>
  <c r="Q11" i="5"/>
  <c r="P11" i="5"/>
  <c r="O11" i="5"/>
  <c r="X10" i="5"/>
  <c r="W10" i="5"/>
  <c r="V10" i="5"/>
  <c r="U10" i="5"/>
  <c r="T10" i="5"/>
  <c r="S10" i="5"/>
  <c r="Q10" i="5"/>
  <c r="P10" i="5"/>
  <c r="O10" i="5"/>
  <c r="U8" i="5"/>
  <c r="X8" i="5" s="1"/>
  <c r="T8" i="5"/>
  <c r="W8" i="5" s="1"/>
  <c r="S8" i="5"/>
  <c r="V8" i="5" s="1"/>
  <c r="Q8" i="5"/>
  <c r="P8" i="5"/>
  <c r="O8" i="5"/>
  <c r="X7" i="5"/>
  <c r="W7" i="5"/>
  <c r="V7" i="5"/>
  <c r="U7" i="5"/>
  <c r="T7" i="5"/>
  <c r="S7" i="5"/>
  <c r="Q7" i="5"/>
  <c r="P7" i="5"/>
  <c r="O7" i="5"/>
  <c r="X6" i="5"/>
  <c r="W6" i="5"/>
  <c r="V6" i="5"/>
  <c r="U6" i="5"/>
  <c r="T6" i="5"/>
  <c r="S6" i="5"/>
  <c r="Q6" i="5"/>
  <c r="P6" i="5"/>
  <c r="O6" i="5"/>
  <c r="U4" i="5"/>
  <c r="X4" i="5" s="1"/>
  <c r="T4" i="5"/>
  <c r="W4" i="5" s="1"/>
  <c r="S4" i="5"/>
  <c r="V4" i="5" s="1"/>
  <c r="Q4" i="5"/>
  <c r="P4" i="5"/>
  <c r="O4" i="5"/>
  <c r="X3" i="5"/>
  <c r="W3" i="5"/>
  <c r="V3" i="5"/>
  <c r="U3" i="5"/>
  <c r="T3" i="5"/>
  <c r="S3" i="5"/>
  <c r="Q3" i="5"/>
  <c r="P3" i="5"/>
  <c r="O3" i="5"/>
  <c r="X2" i="5"/>
  <c r="W2" i="5"/>
  <c r="V2" i="5"/>
  <c r="U2" i="5"/>
  <c r="T2" i="5"/>
  <c r="S2" i="5"/>
  <c r="Q2" i="5"/>
  <c r="P2" i="5"/>
  <c r="O2" i="5"/>
  <c r="Q28" i="4"/>
  <c r="O28" i="4"/>
  <c r="Q27" i="4"/>
  <c r="O27" i="4"/>
  <c r="Q26" i="4"/>
  <c r="O26" i="4"/>
  <c r="Q24" i="4"/>
  <c r="O24" i="4"/>
  <c r="Q23" i="4"/>
  <c r="O23" i="4"/>
  <c r="Q22" i="4"/>
  <c r="O22" i="4"/>
  <c r="Q20" i="4"/>
  <c r="O20" i="4"/>
  <c r="Q19" i="4"/>
  <c r="O19" i="4"/>
  <c r="Q18" i="4"/>
  <c r="O18" i="4"/>
  <c r="Q16" i="4"/>
  <c r="O16" i="4"/>
  <c r="Q15" i="4"/>
  <c r="O15" i="4"/>
  <c r="Q14" i="4"/>
  <c r="O14" i="4"/>
  <c r="Q12" i="4"/>
  <c r="O12" i="4"/>
  <c r="Q11" i="4"/>
  <c r="O11" i="4"/>
  <c r="Q10" i="4"/>
  <c r="O10" i="4"/>
  <c r="Q8" i="4"/>
  <c r="O8" i="4"/>
  <c r="Q7" i="4"/>
  <c r="O7" i="4"/>
  <c r="Q6" i="4"/>
  <c r="O6" i="4"/>
  <c r="Q4" i="4"/>
  <c r="O4" i="4"/>
  <c r="Q3" i="4"/>
  <c r="O3" i="4"/>
  <c r="Q2" i="4"/>
  <c r="O2" i="4"/>
  <c r="Q57" i="3"/>
  <c r="R57" i="3" s="1"/>
  <c r="O57" i="3"/>
  <c r="R56" i="3"/>
  <c r="Q56" i="3"/>
  <c r="O56" i="3"/>
  <c r="R55" i="3"/>
  <c r="Q55" i="3"/>
  <c r="O55" i="3"/>
  <c r="Q53" i="3"/>
  <c r="R53" i="3" s="1"/>
  <c r="O53" i="3"/>
  <c r="R52" i="3"/>
  <c r="Q52" i="3"/>
  <c r="O52" i="3"/>
  <c r="R51" i="3"/>
  <c r="Q51" i="3"/>
  <c r="O51" i="3"/>
  <c r="Q49" i="3"/>
  <c r="R49" i="3" s="1"/>
  <c r="O49" i="3"/>
  <c r="R48" i="3"/>
  <c r="Q48" i="3"/>
  <c r="O48" i="3"/>
  <c r="R47" i="3"/>
  <c r="Q47" i="3"/>
  <c r="O47" i="3"/>
  <c r="Q45" i="3"/>
  <c r="R45" i="3" s="1"/>
  <c r="O45" i="3"/>
  <c r="R44" i="3"/>
  <c r="Q44" i="3"/>
  <c r="O44" i="3"/>
  <c r="R43" i="3"/>
  <c r="Q43" i="3"/>
  <c r="O43" i="3"/>
  <c r="Q41" i="3"/>
  <c r="R41" i="3" s="1"/>
  <c r="O41" i="3"/>
  <c r="R40" i="3"/>
  <c r="Q40" i="3"/>
  <c r="O40" i="3"/>
  <c r="R39" i="3"/>
  <c r="Q39" i="3"/>
  <c r="O39" i="3"/>
  <c r="Q37" i="3"/>
  <c r="R37" i="3" s="1"/>
  <c r="O37" i="3"/>
  <c r="R36" i="3"/>
  <c r="Q36" i="3"/>
  <c r="O36" i="3"/>
  <c r="R35" i="3"/>
  <c r="Q35" i="3"/>
  <c r="O35" i="3"/>
  <c r="Q33" i="3"/>
  <c r="R33" i="3" s="1"/>
  <c r="O33" i="3"/>
  <c r="R32" i="3"/>
  <c r="Q32" i="3"/>
  <c r="O32" i="3"/>
  <c r="R31" i="3"/>
  <c r="Q31" i="3"/>
  <c r="O31" i="3"/>
  <c r="Q28" i="3"/>
  <c r="R28" i="3" s="1"/>
  <c r="O28" i="3"/>
  <c r="R27" i="3"/>
  <c r="Q27" i="3"/>
  <c r="O27" i="3"/>
  <c r="R26" i="3"/>
  <c r="Q26" i="3"/>
  <c r="O26" i="3"/>
  <c r="Q24" i="3"/>
  <c r="R24" i="3" s="1"/>
  <c r="O24" i="3"/>
  <c r="R23" i="3"/>
  <c r="Q23" i="3"/>
  <c r="O23" i="3"/>
  <c r="R22" i="3"/>
  <c r="Q22" i="3"/>
  <c r="O22" i="3"/>
  <c r="Q20" i="3"/>
  <c r="R20" i="3" s="1"/>
  <c r="O20" i="3"/>
  <c r="R19" i="3"/>
  <c r="Q19" i="3"/>
  <c r="O19" i="3"/>
  <c r="R18" i="3"/>
  <c r="Q18" i="3"/>
  <c r="O18" i="3"/>
  <c r="Q16" i="3"/>
  <c r="R16" i="3" s="1"/>
  <c r="O16" i="3"/>
  <c r="R15" i="3"/>
  <c r="Q15" i="3"/>
  <c r="O15" i="3"/>
  <c r="R14" i="3"/>
  <c r="Q14" i="3"/>
  <c r="O14" i="3"/>
  <c r="Q12" i="3"/>
  <c r="R12" i="3" s="1"/>
  <c r="O12" i="3"/>
  <c r="R11" i="3"/>
  <c r="Q11" i="3"/>
  <c r="O11" i="3"/>
  <c r="O10" i="3"/>
  <c r="Q10" i="3" s="1"/>
  <c r="R10" i="3" s="1"/>
  <c r="Q8" i="3"/>
  <c r="R8" i="3" s="1"/>
  <c r="O8" i="3"/>
  <c r="R7" i="3"/>
  <c r="Q7" i="3"/>
  <c r="O7" i="3"/>
  <c r="R6" i="3"/>
  <c r="Q6" i="3"/>
  <c r="O6" i="3"/>
  <c r="Q4" i="3"/>
  <c r="R4" i="3" s="1"/>
  <c r="O4" i="3"/>
  <c r="R3" i="3"/>
  <c r="Q3" i="3"/>
  <c r="O3" i="3"/>
  <c r="R2" i="3"/>
  <c r="Q2" i="3"/>
  <c r="O2" i="3"/>
  <c r="Q28" i="8"/>
  <c r="R28" i="8" s="1"/>
  <c r="O3" i="2"/>
  <c r="O2" i="2"/>
  <c r="T20" i="5" l="1"/>
  <c r="W20" i="5" s="1"/>
</calcChain>
</file>

<file path=xl/sharedStrings.xml><?xml version="1.0" encoding="utf-8"?>
<sst xmlns="http://schemas.openxmlformats.org/spreadsheetml/2006/main" count="183" uniqueCount="40">
  <si>
    <t>N</t>
  </si>
  <si>
    <t>Mode</t>
  </si>
  <si>
    <t>Threads</t>
  </si>
  <si>
    <t>Schedule</t>
  </si>
  <si>
    <t>Speedup</t>
  </si>
  <si>
    <t>Efficiency</t>
  </si>
  <si>
    <t>Time 1</t>
  </si>
  <si>
    <t>Time 2</t>
  </si>
  <si>
    <t>Time 3</t>
  </si>
  <si>
    <t>Time 4</t>
  </si>
  <si>
    <t>Time 5</t>
  </si>
  <si>
    <t>Time 6</t>
  </si>
  <si>
    <t>Time 7</t>
  </si>
  <si>
    <t>Time 8</t>
  </si>
  <si>
    <t>Time 9</t>
  </si>
  <si>
    <t>Time 10</t>
  </si>
  <si>
    <t>AverageTime</t>
  </si>
  <si>
    <t>Time 1 (atomic)</t>
  </si>
  <si>
    <t>Time 1 (critical)</t>
  </si>
  <si>
    <t>Time 2 (atomic)</t>
  </si>
  <si>
    <t>Time 2 (critical)</t>
  </si>
  <si>
    <t>Time 3 (atomic)</t>
  </si>
  <si>
    <t>Time 3 (critical)</t>
  </si>
  <si>
    <t>Time 4 (atomic)</t>
  </si>
  <si>
    <t xml:space="preserve">Time 4 (critical) </t>
  </si>
  <si>
    <t>Time 5 (atomic)</t>
  </si>
  <si>
    <t>Time 5 (critical)</t>
  </si>
  <si>
    <t>Average Atomic Time</t>
  </si>
  <si>
    <t>Average Critical Time</t>
  </si>
  <si>
    <t>Total Average Time</t>
  </si>
  <si>
    <t>static</t>
  </si>
  <si>
    <t>dynamic</t>
  </si>
  <si>
    <t>Efficiency (%)</t>
  </si>
  <si>
    <t>Speedup Atomic</t>
  </si>
  <si>
    <t>Speedup Critical</t>
  </si>
  <si>
    <t>Speedup Average</t>
  </si>
  <si>
    <t>Efficiency Atomic (%)</t>
  </si>
  <si>
    <t>Efficiency Critical (%)</t>
  </si>
  <si>
    <t>Efficiency Average (%)</t>
  </si>
  <si>
    <t>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</si>
</sst>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</a:t>
            </a:r>
            <a:r>
              <a:rPr lang="en-CA"/>
              <a:t>Execution Time (Blue</a:t>
            </a:r>
            <a:r>
              <a:rPr lang="en-CA" baseline="0"/>
              <a:t> Mode 1, Orange Mode 6</a:t>
            </a:r>
            <a:r>
              <a:rPr lang="en-CA"/>
              <a:t>) vs Threads on N = 512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Mode1</c:v>
          </c:tx>
          <c:marker>
            <c:symbol val="none"/>
          </c:marker>
          <c:cat>
            <c:numRef>
              <c:f>('Mode 1'!$C$2,'Mode 1'!$C$6,'Mode 1'!$C$11,'Mode 1'!$C$15,'Mode 1'!$C$19,'Mode 1'!$C$23,'Mode 1'!$C$28)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1'!$O$2,'Mode 1'!$O$6,'Mode 1'!$O$10,'Mode 1'!$O$14,'Mode 1'!$O$18,'Mode 1'!$O$22,'Mode 1'!$O$26)</c:f>
              <c:numCache>
                <c:formatCode>General</c:formatCode>
                <c:ptCount val="7"/>
                <c:pt idx="0">
                  <c:v>0.22977839999999999</c:v>
                </c:pt>
                <c:pt idx="1">
                  <c:v>0.1205524</c:v>
                </c:pt>
                <c:pt idx="2">
                  <c:v>6.6988100000000009E-2</c:v>
                </c:pt>
                <c:pt idx="3">
                  <c:v>3.9179800000000001E-2</c:v>
                </c:pt>
                <c:pt idx="4">
                  <c:v>3.1213800000000003E-2</c:v>
                </c:pt>
                <c:pt idx="5">
                  <c:v>2.5357299999999999E-2</c:v>
                </c:pt>
                <c:pt idx="6">
                  <c:v>1.9783799999999997E-2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9BE-46A3-B440-0B49CCF431B3}"/>
            </c:ext>
          </c:extLst>
        </c:ser>
        <c:ser>
          <c:idx val="5"/>
          <c:order val="1"/>
          <c:tx>
            <c:v>Mode6</c:v>
          </c:tx>
          <c:marker>
            <c:symbol val="none"/>
          </c:marker>
          <c:val>
            <c:numRef>
              <c:f>('Mode 6'!$O$2,'Mode 6'!$O$6,'Mode 6'!$O$10,'Mode 6'!$O$14,'Mode 6'!$O$18,'Mode 6'!$O$22,'Mode 6'!$O$26)</c:f>
              <c:numCache>
                <c:formatCode>General</c:formatCode>
                <c:ptCount val="7"/>
                <c:pt idx="0">
                  <c:v>0.22729819999999998</c:v>
                </c:pt>
                <c:pt idx="1">
                  <c:v>0.1219645</c:v>
                </c:pt>
                <c:pt idx="2">
                  <c:v>6.7111299999999999E-2</c:v>
                </c:pt>
                <c:pt idx="3">
                  <c:v>4.3563699999999997E-2</c:v>
                </c:pt>
                <c:pt idx="4">
                  <c:v>3.2682599999999999E-2</c:v>
                </c:pt>
                <c:pt idx="5">
                  <c:v>2.4890000000000002E-2</c:v>
                </c:pt>
                <c:pt idx="6">
                  <c:v>2.3166099999999998E-2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9BE-46A3-B440-0B49CCF431B3}"/>
            </c:ext>
          </c:extLst>
        </c:ser>
        <c:ser>
          <c:idx val="2"/>
          <c:order val="2"/>
          <c:tx>
            <c:v>Mode1</c:v>
          </c:tx>
          <c:marker>
            <c:symbol val="none"/>
          </c:marker>
          <c:cat>
            <c:numRef>
              <c:f>('Mode 1'!$C$2,'Mode 1'!$C$6,'Mode 1'!$C$11,'Mode 1'!$C$15,'Mode 1'!$C$19,'Mode 1'!$C$23,'Mode 1'!$C$28)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1'!$O$2,'Mode 1'!$O$6,'Mode 1'!$O$10,'Mode 1'!$O$14,'Mode 1'!$O$18,'Mode 1'!$O$22,'Mode 1'!$O$26)</c:f>
              <c:numCache>
                <c:formatCode>General</c:formatCode>
                <c:ptCount val="7"/>
                <c:pt idx="0">
                  <c:v>0.22977839999999999</c:v>
                </c:pt>
                <c:pt idx="1">
                  <c:v>0.1205524</c:v>
                </c:pt>
                <c:pt idx="2">
                  <c:v>6.6988100000000009E-2</c:v>
                </c:pt>
                <c:pt idx="3">
                  <c:v>3.9179800000000001E-2</c:v>
                </c:pt>
                <c:pt idx="4">
                  <c:v>3.1213800000000003E-2</c:v>
                </c:pt>
                <c:pt idx="5">
                  <c:v>2.5357299999999999E-2</c:v>
                </c:pt>
                <c:pt idx="6">
                  <c:v>1.9783799999999997E-2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9BE-46A3-B440-0B49CCF431B3}"/>
            </c:ext>
          </c:extLst>
        </c:ser>
        <c:ser>
          <c:idx val="3"/>
          <c:order val="3"/>
          <c:tx>
            <c:v>Mode6</c:v>
          </c:tx>
          <c:marker>
            <c:symbol val="none"/>
          </c:marker>
          <c:val>
            <c:numRef>
              <c:f>('Mode 6'!$O$2,'Mode 6'!$O$6,'Mode 6'!$O$10,'Mode 6'!$O$14,'Mode 6'!$O$18,'Mode 6'!$O$22,'Mode 6'!$O$26)</c:f>
              <c:numCache>
                <c:formatCode>General</c:formatCode>
                <c:ptCount val="7"/>
                <c:pt idx="0">
                  <c:v>0.22729819999999998</c:v>
                </c:pt>
                <c:pt idx="1">
                  <c:v>0.1219645</c:v>
                </c:pt>
                <c:pt idx="2">
                  <c:v>6.7111299999999999E-2</c:v>
                </c:pt>
                <c:pt idx="3">
                  <c:v>4.3563699999999997E-2</c:v>
                </c:pt>
                <c:pt idx="4">
                  <c:v>3.2682599999999999E-2</c:v>
                </c:pt>
                <c:pt idx="5">
                  <c:v>2.4890000000000002E-2</c:v>
                </c:pt>
                <c:pt idx="6">
                  <c:v>2.3166099999999998E-2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9BE-46A3-B440-0B49CCF431B3}"/>
            </c:ext>
          </c:extLst>
        </c:ser>
        <c:ser>
          <c:idx val="0"/>
          <c:order val="4"/>
          <c:tx>
            <c:v>Mode1</c:v>
          </c:tx>
          <c:marker>
            <c:symbol val="none"/>
          </c:marker>
          <c:cat>
            <c:numRef>
              <c:f>('Mode 1'!$C$2,'Mode 1'!$C$6,'Mode 1'!$C$11,'Mode 1'!$C$15,'Mode 1'!$C$19,'Mode 1'!$C$23,'Mode 1'!$C$28)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1'!$O$2,'Mode 1'!$O$6,'Mode 1'!$O$10,'Mode 1'!$O$14,'Mode 1'!$O$18,'Mode 1'!$O$22,'Mode 1'!$O$26)</c:f>
              <c:numCache>
                <c:formatCode>General</c:formatCode>
                <c:ptCount val="7"/>
                <c:pt idx="0">
                  <c:v>0.22977839999999999</c:v>
                </c:pt>
                <c:pt idx="1">
                  <c:v>0.1205524</c:v>
                </c:pt>
                <c:pt idx="2">
                  <c:v>6.6988100000000009E-2</c:v>
                </c:pt>
                <c:pt idx="3">
                  <c:v>3.9179800000000001E-2</c:v>
                </c:pt>
                <c:pt idx="4">
                  <c:v>3.1213800000000003E-2</c:v>
                </c:pt>
                <c:pt idx="5">
                  <c:v>2.5357299999999999E-2</c:v>
                </c:pt>
                <c:pt idx="6">
                  <c:v>1.9783799999999997E-2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9BE-46A3-B440-0B49CCF431B3}"/>
            </c:ext>
          </c:extLst>
        </c:ser>
        <c:ser>
          <c:idx val="1"/>
          <c:order val="5"/>
          <c:tx>
            <c:v>Mode6</c:v>
          </c:tx>
          <c:marker>
            <c:symbol val="none"/>
          </c:marker>
          <c:val>
            <c:numRef>
              <c:f>('Mode 6'!$O$2,'Mode 6'!$O$6,'Mode 6'!$O$10,'Mode 6'!$O$14,'Mode 6'!$O$18,'Mode 6'!$O$22,'Mode 6'!$O$26)</c:f>
              <c:numCache>
                <c:formatCode>General</c:formatCode>
                <c:ptCount val="7"/>
                <c:pt idx="0">
                  <c:v>0.22729819999999998</c:v>
                </c:pt>
                <c:pt idx="1">
                  <c:v>0.1219645</c:v>
                </c:pt>
                <c:pt idx="2">
                  <c:v>6.7111299999999999E-2</c:v>
                </c:pt>
                <c:pt idx="3">
                  <c:v>4.3563699999999997E-2</c:v>
                </c:pt>
                <c:pt idx="4">
                  <c:v>3.2682599999999999E-2</c:v>
                </c:pt>
                <c:pt idx="5">
                  <c:v>2.4890000000000002E-2</c:v>
                </c:pt>
                <c:pt idx="6">
                  <c:v>2.3166099999999998E-2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9BE-46A3-B440-0B49CCF43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</a:t>
            </a:r>
            <a:r>
              <a:rPr lang="en-CA"/>
              <a:t>Execution Time (Blue</a:t>
            </a:r>
            <a:r>
              <a:rPr lang="en-CA" baseline="0"/>
              <a:t> Mode 1, Orange Mode 6</a:t>
            </a:r>
            <a:r>
              <a:rPr lang="en-CA"/>
              <a:t>) vs Threads on N = 1024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Mode1</c:v>
          </c:tx>
          <c:marker>
            <c:symbol val="none"/>
          </c:marker>
          <c:cat>
            <c:numRef>
              <c:f>('Mode 1'!$C$3,'Mode 1'!$C$6,'Mode 1'!$C$11,'Mode 1'!$C$15,'Mode 1'!$C$19,'Mode 1'!$C$24,'Mode 1'!$C$28)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1'!$O$3,'Mode 1'!$O$7,'Mode 1'!$O$11,'Mode 1'!$O$15,'Mode 1'!$O$19,'Mode 1'!$O$23,'Mode 1'!$O$27)</c:f>
              <c:numCache>
                <c:formatCode>General</c:formatCode>
                <c:ptCount val="7"/>
                <c:pt idx="0">
                  <c:v>1.8570863</c:v>
                </c:pt>
                <c:pt idx="1">
                  <c:v>1.0001833999999998</c:v>
                </c:pt>
                <c:pt idx="2">
                  <c:v>0.52353799999999995</c:v>
                </c:pt>
                <c:pt idx="3">
                  <c:v>0.28700729999999997</c:v>
                </c:pt>
                <c:pt idx="4">
                  <c:v>0.30592360000000002</c:v>
                </c:pt>
                <c:pt idx="5">
                  <c:v>0.25712990000000002</c:v>
                </c:pt>
                <c:pt idx="6">
                  <c:v>0.23541580000000004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FF-41D3-B1CB-880CFA6C594E}"/>
            </c:ext>
          </c:extLst>
        </c:ser>
        <c:ser>
          <c:idx val="1"/>
          <c:order val="1"/>
          <c:tx>
            <c:v>Mode6</c:v>
          </c:tx>
          <c:marker>
            <c:symbol val="none"/>
          </c:marker>
          <c:cat>
            <c:numRef>
              <c:f>('Mode 1'!$C$3,'Mode 1'!$C$6,'Mode 1'!$C$11,'Mode 1'!$C$15,'Mode 1'!$C$19,'Mode 1'!$C$24,'Mode 1'!$C$28)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6'!$O$3,'Mode 6'!$O$7,'Mode 6'!$O$11,'Mode 6'!$O$15,'Mode 6'!$O$19,'Mode 6'!$O$23,'Mode 6'!$O$27)</c:f>
              <c:numCache>
                <c:formatCode>General</c:formatCode>
                <c:ptCount val="7"/>
                <c:pt idx="0">
                  <c:v>1.8532883000000002</c:v>
                </c:pt>
                <c:pt idx="1">
                  <c:v>1.0005134999999998</c:v>
                </c:pt>
                <c:pt idx="2">
                  <c:v>0.5282076</c:v>
                </c:pt>
                <c:pt idx="3">
                  <c:v>0.28201270000000001</c:v>
                </c:pt>
                <c:pt idx="4">
                  <c:v>0.30436649999999998</c:v>
                </c:pt>
                <c:pt idx="5">
                  <c:v>0.24920310000000004</c:v>
                </c:pt>
                <c:pt idx="6">
                  <c:v>0.22700700000000001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FF-41D3-B1CB-880CFA6C5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</a:t>
            </a:r>
            <a:r>
              <a:rPr lang="en-CA"/>
              <a:t>Execution Time (Blue</a:t>
            </a:r>
            <a:r>
              <a:rPr lang="en-CA" baseline="0"/>
              <a:t> Mode 1, Orange Mode 6</a:t>
            </a:r>
            <a:r>
              <a:rPr lang="en-CA"/>
              <a:t>) vs Threads on N = 2048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Mode1</c:v>
          </c:tx>
          <c:marker>
            <c:symbol val="none"/>
          </c:marker>
          <c:val>
            <c:numRef>
              <c:f>('Mode 1'!$O$4,'Mode 1'!$O$8,'Mode 1'!$O$12,'Mode 1'!$O$16,'Mode 1'!$O$20,'Mode 1'!$O$24,'Mode 1'!$O$28)</c:f>
              <c:numCache>
                <c:formatCode>General</c:formatCode>
                <c:ptCount val="7"/>
                <c:pt idx="0">
                  <c:v>47.301419099999997</c:v>
                </c:pt>
                <c:pt idx="1">
                  <c:v>28.796447000000001</c:v>
                </c:pt>
                <c:pt idx="2">
                  <c:v>11.3161205</c:v>
                </c:pt>
                <c:pt idx="3">
                  <c:v>5.2815108000000004</c:v>
                </c:pt>
                <c:pt idx="4">
                  <c:v>5.3655154999999999</c:v>
                </c:pt>
                <c:pt idx="5">
                  <c:v>4.241432099999999</c:v>
                </c:pt>
                <c:pt idx="6">
                  <c:v>3.9780462000000001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27-475F-97C3-EA136C1C69AE}"/>
            </c:ext>
          </c:extLst>
        </c:ser>
        <c:ser>
          <c:idx val="1"/>
          <c:order val="1"/>
          <c:tx>
            <c:v>Mode6</c:v>
          </c:tx>
          <c:marker>
            <c:symbol val="none"/>
          </c:marker>
          <c:val>
            <c:numRef>
              <c:f>('Mode 6'!$O$4,'Mode 6'!$O$8,'Mode 6'!$O$12,'Mode 6'!$O$16,'Mode 6'!$O$20,'Mode 6'!$O$24,'Mode 6'!$O$28)</c:f>
              <c:numCache>
                <c:formatCode>General</c:formatCode>
                <c:ptCount val="7"/>
                <c:pt idx="0">
                  <c:v>47.417053510000002</c:v>
                </c:pt>
                <c:pt idx="1">
                  <c:v>29.006750600000004</c:v>
                </c:pt>
                <c:pt idx="2">
                  <c:v>10.9082715</c:v>
                </c:pt>
                <c:pt idx="3">
                  <c:v>5.3525402</c:v>
                </c:pt>
                <c:pt idx="4">
                  <c:v>5.4294294999999995</c:v>
                </c:pt>
                <c:pt idx="5">
                  <c:v>4.2722551999999991</c:v>
                </c:pt>
                <c:pt idx="6">
                  <c:v>3.8681083000000003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27-475F-97C3-EA136C1C6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</a:t>
            </a:r>
            <a:r>
              <a:rPr lang="en-CA" baseline="0"/>
              <a:t> </a:t>
            </a:r>
            <a:r>
              <a:rPr lang="en-CA"/>
              <a:t>Execution Time (Blue</a:t>
            </a:r>
            <a:r>
              <a:rPr lang="en-CA" baseline="0"/>
              <a:t> Mode 0, Orange Mode 5</a:t>
            </a:r>
            <a:r>
              <a:rPr lang="en-CA"/>
              <a:t>) vs N on One</a:t>
            </a:r>
            <a:r>
              <a:rPr lang="en-CA" baseline="0"/>
              <a:t> Thread</a:t>
            </a:r>
            <a:r>
              <a:rPr lang="en-CA"/>
              <a:t>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Mode 0</c:v>
          </c:tx>
          <c:marker>
            <c:symbol val="none"/>
          </c:marker>
          <c:val>
            <c:numRef>
              <c:f>('Mode 0'!$O$2,'Mode 0'!$O$3,'Mode 0'!$O$4)</c:f>
              <c:numCache>
                <c:formatCode>General</c:formatCode>
                <c:ptCount val="3"/>
                <c:pt idx="0">
                  <c:v>0.23089770000000001</c:v>
                </c:pt>
                <c:pt idx="1">
                  <c:v>1.8531987000000001</c:v>
                </c:pt>
                <c:pt idx="2">
                  <c:v>47.759252199999992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310-4281-9BCB-7D93A16E7AF6}"/>
            </c:ext>
          </c:extLst>
        </c:ser>
        <c:ser>
          <c:idx val="1"/>
          <c:order val="1"/>
          <c:tx>
            <c:v>Mode5</c:v>
          </c:tx>
          <c:marker>
            <c:symbol val="none"/>
          </c:marker>
          <c:val>
            <c:numRef>
              <c:f>('Mode 5'!$O$2,'Mode 5'!$O$3,'Mode 5'!$O$4)</c:f>
              <c:numCache>
                <c:formatCode>General</c:formatCode>
                <c:ptCount val="3"/>
                <c:pt idx="0">
                  <c:v>0.22749520000000004</c:v>
                </c:pt>
                <c:pt idx="1">
                  <c:v>1.8677857999999996</c:v>
                </c:pt>
                <c:pt idx="2">
                  <c:v>47.685052200000008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310-4281-9BCB-7D93A16E7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Average Run Time</a:t>
            </a:r>
            <a:r>
              <a:rPr lang="en-CA" baseline="0"/>
              <a:t> (Time vs N size)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>
        <c:manualLayout>
          <c:layoutTarget val="inner"/>
          <c:xMode val="edge"/>
          <c:yMode val="edge"/>
          <c:x val="9.7025371828521445E-2"/>
          <c:y val="0.19486111111111112"/>
          <c:w val="0.90297462817147855"/>
          <c:h val="0.7212580198308544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'Mode 0'!$O$2:$O$4</c:f>
              <c:numCache>
                <c:formatCode>General</c:formatCode>
                <c:ptCount val="3"/>
                <c:pt idx="0">
                  <c:v>0.23089770000000001</c:v>
                </c:pt>
                <c:pt idx="1">
                  <c:v>1.8531987000000001</c:v>
                </c:pt>
                <c:pt idx="2">
                  <c:v>47.759252199999992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9-4A38-AE5C-2060D7F3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773791"/>
        <c:axId val="1440775231"/>
      </c:lineChart>
      <c:catAx>
        <c:axId val="144077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75231"/>
        <c:crosses val="autoZero"/>
        <c:auto val="1"/>
        <c:lblAlgn val="ctr"/>
        <c:lblOffset val="100"/>
        <c:noMultiLvlLbl val="0"/>
      </c:catAx>
      <c:valAx>
        <c:axId val="1440775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7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Speedup [static]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1'!$C$2,'Mode 1'!$C$6,'Mode 1'!$C$10,'Mode 1'!$C$14,'Mode 1'!$C$18,'Mode 1'!$C$22,'Mode 1'!$C$26)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1'!$Q$2,'Mode 1'!$Q$6,'Mode 1'!$Q$10,'Mode 1'!$Q$14,'Mode 1'!$Q$18,'Mode 1'!$Q$22,'Mode 1'!$Q$26)</c:f>
              <c:numCache>
                <c:formatCode>General</c:formatCode>
                <c:ptCount val="7"/>
                <c:pt idx="0">
                  <c:v>1.0048712150489343</c:v>
                </c:pt>
                <c:pt idx="1">
                  <c:v>1.9153305948284729</c:v>
                </c:pt>
                <c:pt idx="2">
                  <c:v>3.4468465294582171</c:v>
                </c:pt>
                <c:pt idx="3">
                  <c:v>5.8932842944578585</c:v>
                </c:pt>
                <c:pt idx="4">
                  <c:v>7.3972954270226623</c:v>
                </c:pt>
                <c:pt idx="5">
                  <c:v>9.105768358618624</c:v>
                </c:pt>
                <c:pt idx="6">
                  <c:v>11.671049040123739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4E-49B2-BDAB-E18234ADC62D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1'!$C$2,'Mode 1'!$C$6,'Mode 1'!$C$10,'Mode 1'!$C$14,'Mode 1'!$C$18,'Mode 1'!$C$22,'Mode 1'!$C$26)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1'!$Q$3,'Mode 1'!$Q$7,'Mode 1'!$Q$11,'Mode 1'!$Q$15,'Mode 1'!$Q$19,'Mode 1'!$Q$23,'Mode 1'!$Q$27)</c:f>
              <c:numCache>
                <c:formatCode>General</c:formatCode>
                <c:ptCount val="7"/>
                <c:pt idx="0">
                  <c:v>0.99790661317139662</c:v>
                </c:pt>
                <c:pt idx="1">
                  <c:v>1.8528588856803667</c:v>
                </c:pt>
                <c:pt idx="2">
                  <c:v>3.5397596736053547</c:v>
                </c:pt>
                <c:pt idx="3">
                  <c:v>6.4569740909029152</c:v>
                </c:pt>
                <c:pt idx="4">
                  <c:v>6.0577173516525038</c:v>
                </c:pt>
                <c:pt idx="5">
                  <c:v>7.2072469985015353</c:v>
                </c:pt>
                <c:pt idx="6">
                  <c:v>7.872023458068659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4E-49B2-BDAB-E18234ADC62D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1'!$C$2,'Mode 1'!$C$6,'Mode 1'!$C$10,'Mode 1'!$C$14,'Mode 1'!$C$18,'Mode 1'!$C$22,'Mode 1'!$C$26)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1'!$Q$4,'Mode 1'!$Q$8,'Mode 1'!$Q$12,'Mode 1'!$Q$16,'Mode 1'!$Q$20,'Mode 1'!$Q$24,'Mode 1'!$Q$28)</c:f>
              <c:numCache>
                <c:formatCode>General</c:formatCode>
                <c:ptCount val="7"/>
                <c:pt idx="0">
                  <c:v>1.0096790563308913</c:v>
                </c:pt>
                <c:pt idx="1">
                  <c:v>1.6585119754530824</c:v>
                </c:pt>
                <c:pt idx="2">
                  <c:v>4.2204616149147576</c:v>
                </c:pt>
                <c:pt idx="3">
                  <c:v>9.0427254640850094</c:v>
                </c:pt>
                <c:pt idx="4">
                  <c:v>8.9011488644474124</c:v>
                </c:pt>
                <c:pt idx="5">
                  <c:v>11.260171346371431</c:v>
                </c:pt>
                <c:pt idx="6">
                  <c:v>12.00570576581036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44E-49B2-BDAB-E18234ADC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Efficiency [static]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1'!$C$3,'Mode 1'!$C$6,'Mode 1'!$C$11,'Mode 1'!$C$15,'Mode 1'!$C$19,'Mode 1'!$C$23,'Mode 1'!$C$27)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1'!$R$2,'Mode 1'!$R$6,'Mode 1'!$R$10,'Mode 1'!$R$14,'Mode 1'!$R$18,'Mode 1'!$R$22,'Mode 1'!$R$26)</c:f>
              <c:numCache>
                <c:formatCode>General</c:formatCode>
                <c:ptCount val="7"/>
                <c:pt idx="0">
                  <c:v>100.48712150489342</c:v>
                </c:pt>
                <c:pt idx="1">
                  <c:v>95.766529741423639</c:v>
                </c:pt>
                <c:pt idx="2">
                  <c:v>86.171163236455428</c:v>
                </c:pt>
                <c:pt idx="3">
                  <c:v>73.666053680723238</c:v>
                </c:pt>
                <c:pt idx="4">
                  <c:v>61.644128558522183</c:v>
                </c:pt>
                <c:pt idx="5">
                  <c:v>56.911052241366399</c:v>
                </c:pt>
                <c:pt idx="6">
                  <c:v>58.355245200618697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53-49B8-865F-4288CBC7E18B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1'!$C$3,'Mode 1'!$C$6,'Mode 1'!$C$11,'Mode 1'!$C$15,'Mode 1'!$C$19,'Mode 1'!$C$23,'Mode 1'!$C$27)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1'!$R$3,'Mode 1'!$R$7,'Mode 1'!$R$11,'Mode 1'!$R$15,'Mode 1'!$R$19,'Mode 1'!$R$23,'Mode 1'!$R$27)</c:f>
              <c:numCache>
                <c:formatCode>General</c:formatCode>
                <c:ptCount val="7"/>
                <c:pt idx="0">
                  <c:v>99.790661317139666</c:v>
                </c:pt>
                <c:pt idx="1">
                  <c:v>92.642944284018341</c:v>
                </c:pt>
                <c:pt idx="2">
                  <c:v>88.493991840133873</c:v>
                </c:pt>
                <c:pt idx="3">
                  <c:v>80.712176136286445</c:v>
                </c:pt>
                <c:pt idx="4">
                  <c:v>50.480977930437533</c:v>
                </c:pt>
                <c:pt idx="5">
                  <c:v>45.045293740634598</c:v>
                </c:pt>
                <c:pt idx="6">
                  <c:v>39.360117290343297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53-49B8-865F-4288CBC7E18B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1'!$C$3,'Mode 1'!$C$6,'Mode 1'!$C$11,'Mode 1'!$C$15,'Mode 1'!$C$19,'Mode 1'!$C$23,'Mode 1'!$C$27)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1'!$R$4,'Mode 1'!$R$8,'Mode 1'!$R$12,'Mode 1'!$R$16,'Mode 1'!$R$20,'Mode 1'!$R$24,'Mode 1'!$R$28)</c:f>
              <c:numCache>
                <c:formatCode>General</c:formatCode>
                <c:ptCount val="7"/>
                <c:pt idx="0">
                  <c:v>100.96790563308913</c:v>
                </c:pt>
                <c:pt idx="1">
                  <c:v>82.925598772654112</c:v>
                </c:pt>
                <c:pt idx="2">
                  <c:v>105.51154037286894</c:v>
                </c:pt>
                <c:pt idx="3">
                  <c:v>113.03406830106262</c:v>
                </c:pt>
                <c:pt idx="4">
                  <c:v>74.176240537061773</c:v>
                </c:pt>
                <c:pt idx="5">
                  <c:v>70.37607091482144</c:v>
                </c:pt>
                <c:pt idx="6">
                  <c:v>60.028528829051794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53-49B8-865F-4288CBC7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Speedup [dynamic] (Blue 512, Orange 1024, Green 2048)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1'!$C$43,'Mode 1'!$C$47,'Mode 1'!$C$51,'Mode 1'!$C$55)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1'!$Q$31,'Mode 1'!$Q$35,'Mode 1'!$Q$39,'Mode 1'!$Q$43,'Mode 1'!$Q$47,'Mode 1'!$Q$51,'Mode 1'!$Q$55)</c:f>
              <c:numCache>
                <c:formatCode>General</c:formatCode>
                <c:ptCount val="7"/>
                <c:pt idx="0">
                  <c:v>1.0044533092041728</c:v>
                </c:pt>
                <c:pt idx="1">
                  <c:v>1.9014379922459423</c:v>
                </c:pt>
                <c:pt idx="2">
                  <c:v>3.488639522796499</c:v>
                </c:pt>
                <c:pt idx="3">
                  <c:v>6.2555085055714947</c:v>
                </c:pt>
                <c:pt idx="4">
                  <c:v>8.3165020638385236</c:v>
                </c:pt>
                <c:pt idx="5">
                  <c:v>10.54409246379856</c:v>
                </c:pt>
                <c:pt idx="6">
                  <c:v>12.957440360948837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8A-496B-A3FF-AEE0B0550F65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1'!$C$43,'Mode 1'!$C$47,'Mode 1'!$C$51,'Mode 1'!$C$55)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1'!$Q$32,'Mode 1'!$Q$36,'Mode 1'!$Q$40,'Mode 1'!$Q$44,'Mode 1'!$Q$48,'Mode 1'!$Q$52,'Mode 1'!$Q$56)</c:f>
              <c:numCache>
                <c:formatCode>General</c:formatCode>
                <c:ptCount val="7"/>
                <c:pt idx="0">
                  <c:v>0.99540192952987705</c:v>
                </c:pt>
                <c:pt idx="1">
                  <c:v>2.2487266176163536</c:v>
                </c:pt>
                <c:pt idx="2">
                  <c:v>3.5354323753650476</c:v>
                </c:pt>
                <c:pt idx="3">
                  <c:v>6.67462168893403</c:v>
                </c:pt>
                <c:pt idx="4">
                  <c:v>7.5407032243731074</c:v>
                </c:pt>
                <c:pt idx="5">
                  <c:v>9.525589631430563</c:v>
                </c:pt>
                <c:pt idx="6">
                  <c:v>10.664246896018341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88A-496B-A3FF-AEE0B0550F65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1'!$C$43,'Mode 1'!$C$47,'Mode 1'!$C$51,'Mode 1'!$C$55)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1'!$Q$33,'Mode 1'!$Q$37,'Mode 1'!$Q$41,'Mode 1'!$Q$45,'Mode 1'!$Q$49,'Mode 1'!$Q$53,'Mode 1'!$Q$57)</c:f>
              <c:numCache>
                <c:formatCode>General</c:formatCode>
                <c:ptCount val="7"/>
                <c:pt idx="0">
                  <c:v>0.9859051179041044</c:v>
                </c:pt>
                <c:pt idx="1">
                  <c:v>1.5865105229299949</c:v>
                </c:pt>
                <c:pt idx="2">
                  <c:v>4.3999331560827759</c:v>
                </c:pt>
                <c:pt idx="3">
                  <c:v>8.8364574541797793</c:v>
                </c:pt>
                <c:pt idx="4">
                  <c:v>10.237299253567874</c:v>
                </c:pt>
                <c:pt idx="5">
                  <c:v>13.204108776023258</c:v>
                </c:pt>
                <c:pt idx="6">
                  <c:v>13.580755733686649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8A-496B-A3FF-AEE0B0550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Efficiency [dynamic]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1'!$C$44,'Mode 1'!$C$48,'Mode 1'!$C$52,'Mode 1'!$C$56)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1'!$R$31,'Mode 1'!$R$35,'Mode 1'!$R$39,'Mode 1'!$R$43,'Mode 1'!$R$47,'Mode 1'!$R$51,'Mode 1'!$R$55)</c:f>
              <c:numCache>
                <c:formatCode>General</c:formatCode>
                <c:ptCount val="7"/>
                <c:pt idx="0">
                  <c:v>100.44533092041728</c:v>
                </c:pt>
                <c:pt idx="1">
                  <c:v>95.071899612297116</c:v>
                </c:pt>
                <c:pt idx="2">
                  <c:v>87.21598806991247</c:v>
                </c:pt>
                <c:pt idx="3">
                  <c:v>78.193856319643686</c:v>
                </c:pt>
                <c:pt idx="4">
                  <c:v>69.304183865321036</c:v>
                </c:pt>
                <c:pt idx="5">
                  <c:v>65.900577898740991</c:v>
                </c:pt>
                <c:pt idx="6">
                  <c:v>64.787201804744186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ED-462A-AD5D-A49DEE31A4BA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1'!$C$44,'Mode 1'!$C$48,'Mode 1'!$C$52,'Mode 1'!$C$56)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1'!$R$32,'Mode 1'!$R$36,'Mode 1'!$R$40,'Mode 1'!$R$44,'Mode 1'!$R$48,'Mode 1'!$R$52,'Mode 1'!$R$56)</c:f>
              <c:numCache>
                <c:formatCode>General</c:formatCode>
                <c:ptCount val="7"/>
                <c:pt idx="0">
                  <c:v>99.540192952987709</c:v>
                </c:pt>
                <c:pt idx="1">
                  <c:v>112.43633088081768</c:v>
                </c:pt>
                <c:pt idx="2">
                  <c:v>88.38580938412619</c:v>
                </c:pt>
                <c:pt idx="3">
                  <c:v>83.432771111675379</c:v>
                </c:pt>
                <c:pt idx="4">
                  <c:v>62.839193536442565</c:v>
                </c:pt>
                <c:pt idx="5">
                  <c:v>59.534935196441019</c:v>
                </c:pt>
                <c:pt idx="6">
                  <c:v>53.321234480091704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ED-462A-AD5D-A49DEE31A4BA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1'!$C$31,'Mode 1'!$C$35,'Mode 1'!$C$39,'Mode 1'!$C$44,'Mode 1'!$C$48,'Mode 1'!$C$52,'Mode 1'!$C$56)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1'!$R$33,'Mode 1'!$R$37,'Mode 1'!$R$41,'Mode 1'!$R$45,'Mode 1'!$R$49,'Mode 1'!$R$53,'Mode 1'!$R$57)</c:f>
              <c:numCache>
                <c:formatCode>General</c:formatCode>
                <c:ptCount val="7"/>
                <c:pt idx="0">
                  <c:v>98.590511790410446</c:v>
                </c:pt>
                <c:pt idx="1">
                  <c:v>79.325526146499755</c:v>
                </c:pt>
                <c:pt idx="2">
                  <c:v>109.9983289020694</c:v>
                </c:pt>
                <c:pt idx="3">
                  <c:v>110.45571817724723</c:v>
                </c:pt>
                <c:pt idx="4">
                  <c:v>85.310827113065628</c:v>
                </c:pt>
                <c:pt idx="5">
                  <c:v>82.525679850145366</c:v>
                </c:pt>
                <c:pt idx="6">
                  <c:v>67.903778668433247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FED-462A-AD5D-A49DEE31A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Speedup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2'!$C$18,'Mode 2'!$C$22,'Mode 2'!$C$26)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2'!$Q$2,'Mode 2'!$Q$6,'Mode 2'!$Q$10,'Mode 2'!$Q$14,'Mode 2'!$Q$18,'Mode 2'!$Q$22,'Mode 2'!$Q$26)</c:f>
              <c:numCache>
                <c:formatCode>General</c:formatCode>
                <c:ptCount val="7"/>
                <c:pt idx="0">
                  <c:v>1.0130220032852248</c:v>
                </c:pt>
                <c:pt idx="1">
                  <c:v>1.917003467079351</c:v>
                </c:pt>
                <c:pt idx="2">
                  <c:v>3.4672812430079301</c:v>
                </c:pt>
                <c:pt idx="3">
                  <c:v>5.6247232067818906</c:v>
                </c:pt>
                <c:pt idx="4">
                  <c:v>7.2972826911407758</c:v>
                </c:pt>
                <c:pt idx="5">
                  <c:v>10.035234498255008</c:v>
                </c:pt>
                <c:pt idx="6">
                  <c:v>11.779052564992043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284-46C6-87EA-E884BC067F13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2'!$C$18,'Mode 2'!$C$22,'Mode 2'!$C$26)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2'!$Q$3,'Mode 2'!$Q$7,'Mode 2'!$Q$11,'Mode 2'!$Q$15,'Mode 2'!$Q$19,'Mode 2'!$Q$23,'Mode 2'!$Q$27)</c:f>
              <c:numCache>
                <c:formatCode>General</c:formatCode>
                <c:ptCount val="7"/>
                <c:pt idx="0">
                  <c:v>0.99333513039998378</c:v>
                </c:pt>
                <c:pt idx="1">
                  <c:v>1.8435933940576208</c:v>
                </c:pt>
                <c:pt idx="2">
                  <c:v>3.5544728330637554</c:v>
                </c:pt>
                <c:pt idx="3">
                  <c:v>6.4379478592557717</c:v>
                </c:pt>
                <c:pt idx="4">
                  <c:v>6.0540108176481136</c:v>
                </c:pt>
                <c:pt idx="5">
                  <c:v>7.2067761320678043</c:v>
                </c:pt>
                <c:pt idx="6">
                  <c:v>7.4821573918857371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284-46C6-87EA-E884BC067F13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2'!$C$18,'Mode 2'!$C$22,'Mode 2'!$C$26)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2'!$Q$4,'Mode 2'!$Q$8,'Mode 2'!$Q$12,'Mode 2'!$Q$16,'Mode 2'!$Q$20,'Mode 2'!$Q$24,'Mode 2'!$Q$28)</c:f>
              <c:numCache>
                <c:formatCode>General</c:formatCode>
                <c:ptCount val="7"/>
                <c:pt idx="0">
                  <c:v>0.98049808054025178</c:v>
                </c:pt>
                <c:pt idx="1">
                  <c:v>1.6968183454402055</c:v>
                </c:pt>
                <c:pt idx="2">
                  <c:v>4.2809868840375964</c:v>
                </c:pt>
                <c:pt idx="3">
                  <c:v>8.7500622828778916</c:v>
                </c:pt>
                <c:pt idx="4">
                  <c:v>8.9421459561563612</c:v>
                </c:pt>
                <c:pt idx="5">
                  <c:v>11.140704779110607</c:v>
                </c:pt>
                <c:pt idx="6">
                  <c:v>11.766347379597596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84-46C6-87EA-E884BC067F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Efficiency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2'!$C$19,'Mode 2'!$C$23,'Mode 2'!$C$27)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2'!$R$2,'Mode 2'!$R$6,'Mode 2'!$R$10,'Mode 2'!$R$14,'Mode 2'!$R$18,'Mode 2'!$R$22,'Mode 2'!$R$26)</c:f>
              <c:numCache>
                <c:formatCode>General</c:formatCode>
                <c:ptCount val="7"/>
                <c:pt idx="0">
                  <c:v>101.30220032852249</c:v>
                </c:pt>
                <c:pt idx="1">
                  <c:v>95.850173353967548</c:v>
                </c:pt>
                <c:pt idx="2">
                  <c:v>86.682031075198253</c:v>
                </c:pt>
                <c:pt idx="3">
                  <c:v>70.309040084773628</c:v>
                </c:pt>
                <c:pt idx="4">
                  <c:v>60.810689092839795</c:v>
                </c:pt>
                <c:pt idx="5">
                  <c:v>62.720215614093803</c:v>
                </c:pt>
                <c:pt idx="6">
                  <c:v>58.895262824960213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B2-441B-960B-267BE591B6CF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2'!$C$19,'Mode 2'!$C$23,'Mode 2'!$C$27)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2'!$R$3,'Mode 2'!$R$7,'Mode 2'!$R$11,'Mode 2'!$R$15,'Mode 2'!$R$19,'Mode 2'!$R$23,'Mode 2'!$R$27)</c:f>
              <c:numCache>
                <c:formatCode>General</c:formatCode>
                <c:ptCount val="7"/>
                <c:pt idx="0">
                  <c:v>99.33351303999838</c:v>
                </c:pt>
                <c:pt idx="1">
                  <c:v>92.179669702881043</c:v>
                </c:pt>
                <c:pt idx="2">
                  <c:v>88.861820826593885</c:v>
                </c:pt>
                <c:pt idx="3">
                  <c:v>80.47434824069714</c:v>
                </c:pt>
                <c:pt idx="4">
                  <c:v>50.45009014706762</c:v>
                </c:pt>
                <c:pt idx="5">
                  <c:v>45.042350825423775</c:v>
                </c:pt>
                <c:pt idx="6">
                  <c:v>37.410786959428691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B2-441B-960B-267BE591B6CF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2'!$C$2,'Mode 2'!$C$6,'Mode 2'!$C$10,'Mode 2'!$C$14,'Mode 2'!$C$19,'Mode 2'!$C$23,'Mode 2'!$C$27)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2'!$R$4,'Mode 2'!$R$8,'Mode 2'!$R$12,'Mode 2'!$R$16,'Mode 2'!$R$20,'Mode 2'!$R$24,'Mode 2'!$R$28)</c:f>
              <c:numCache>
                <c:formatCode>General</c:formatCode>
                <c:ptCount val="7"/>
                <c:pt idx="0">
                  <c:v>98.049808054025178</c:v>
                </c:pt>
                <c:pt idx="1">
                  <c:v>84.840917272010273</c:v>
                </c:pt>
                <c:pt idx="2">
                  <c:v>107.02467210093991</c:v>
                </c:pt>
                <c:pt idx="3">
                  <c:v>109.37577853597364</c:v>
                </c:pt>
                <c:pt idx="4">
                  <c:v>74.517882967969669</c:v>
                </c:pt>
                <c:pt idx="5">
                  <c:v>69.629404869441288</c:v>
                </c:pt>
                <c:pt idx="6">
                  <c:v>58.831736897987973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B2-441B-960B-267BE591B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Efficiency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4'!$C$2,'Mode 4'!$C$6,'Mode 4'!$C$10,'Mode 4'!$C$14,'Mode 4'!$C$18,'Mode 4'!$C$22,'Mode 4'!$C$26)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4'!$R$2,'Mode 4'!$R$6,'Mode 4'!$R$10,'Mode 4'!$R$14,'Mode 4'!$R$18,'Mode 4'!$R$22,'Mode 4'!$R$26)</c:f>
              <c:numCache>
                <c:formatCode>General</c:formatCode>
                <c:ptCount val="7"/>
                <c:pt idx="0">
                  <c:v>97.372477262309047</c:v>
                </c:pt>
                <c:pt idx="1">
                  <c:v>94.84033066704346</c:v>
                </c:pt>
                <c:pt idx="2">
                  <c:v>90.032355822020349</c:v>
                </c:pt>
                <c:pt idx="3">
                  <c:v>82.796780467654088</c:v>
                </c:pt>
                <c:pt idx="4">
                  <c:v>74.533715786456369</c:v>
                </c:pt>
                <c:pt idx="5">
                  <c:v>73.050768416949722</c:v>
                </c:pt>
                <c:pt idx="6">
                  <c:v>61.180512130237105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0A-4F7D-852D-08C340B5E7B2}"/>
            </c:ext>
          </c:extLst>
        </c:ser>
        <c:ser>
          <c:idx val="1"/>
          <c:order val="1"/>
          <c:tx>
            <c:v>series2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('Mode 4'!$R$3,'Mode 4'!$R$7,'Mode 4'!$R$11,'Mode 4'!$R$15,'Mode 4'!$R$19,'Mode 4'!$R$23,'Mode 4'!$R$27)</c:f>
              <c:numCache>
                <c:formatCode>General</c:formatCode>
                <c:ptCount val="7"/>
                <c:pt idx="0">
                  <c:v>99.218543665425358</c:v>
                </c:pt>
                <c:pt idx="1">
                  <c:v>92.971836918494162</c:v>
                </c:pt>
                <c:pt idx="2">
                  <c:v>90.956769491275864</c:v>
                </c:pt>
                <c:pt idx="3">
                  <c:v>85.602299346258874</c:v>
                </c:pt>
                <c:pt idx="4">
                  <c:v>64.607491434237119</c:v>
                </c:pt>
                <c:pt idx="5">
                  <c:v>59.79702233077677</c:v>
                </c:pt>
                <c:pt idx="6">
                  <c:v>49.076639799668023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60A-4F7D-852D-08C340B5E7B2}"/>
            </c:ext>
          </c:extLst>
        </c:ser>
        <c:ser>
          <c:idx val="2"/>
          <c:order val="2"/>
          <c:tx>
            <c:v>series3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('Mode 4'!$R$4,'Mode 4'!$R$8,'Mode 4'!$R$12,'Mode 4'!$R$16,'Mode 4'!$R$20,'Mode 4'!$R$24,'Mode 4'!$R$28)</c:f>
              <c:numCache>
                <c:formatCode>General</c:formatCode>
                <c:ptCount val="7"/>
                <c:pt idx="0">
                  <c:v>98.139666101846487</c:v>
                </c:pt>
                <c:pt idx="1">
                  <c:v>84.023444202842754</c:v>
                </c:pt>
                <c:pt idx="2">
                  <c:v>106.70828232697372</c:v>
                </c:pt>
                <c:pt idx="3">
                  <c:v>112.42861753874722</c:v>
                </c:pt>
                <c:pt idx="4">
                  <c:v>88.546970483347067</c:v>
                </c:pt>
                <c:pt idx="5">
                  <c:v>77.43599522934916</c:v>
                </c:pt>
                <c:pt idx="6">
                  <c:v>60.187894779729888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80-4A4B-82F8-0AF12A8E5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Speedup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4'!$C$2,'Mode 4'!$C$6,'Mode 4'!$C$10,'Mode 4'!$C$14,'Mode 4'!$C$18,'Mode 4'!$C$23,'Mode 4'!$C$27)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4'!$Q$2,'Mode 4'!$Q$6,'Mode 4'!$Q$10,'Mode 4'!$Q$14,'Mode 4'!$Q$18,'Mode 4'!$Q$22,'Mode 4'!$Q$26)</c:f>
              <c:numCache>
                <c:formatCode>General</c:formatCode>
                <c:ptCount val="7"/>
                <c:pt idx="0">
                  <c:v>0.97372477262309054</c:v>
                </c:pt>
                <c:pt idx="1">
                  <c:v>1.8968066133408692</c:v>
                </c:pt>
                <c:pt idx="2">
                  <c:v>3.601294232880814</c:v>
                </c:pt>
                <c:pt idx="3">
                  <c:v>6.6237424374123268</c:v>
                </c:pt>
                <c:pt idx="4">
                  <c:v>8.9440458943747636</c:v>
                </c:pt>
                <c:pt idx="5">
                  <c:v>11.688122946711957</c:v>
                </c:pt>
                <c:pt idx="6">
                  <c:v>12.236102426047422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1-487A-A078-D96AEB600CDB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4'!$C$2,'Mode 4'!$C$6,'Mode 4'!$C$10,'Mode 4'!$C$14,'Mode 4'!$C$18,'Mode 4'!$C$23,'Mode 4'!$C$27)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4'!$Q$3,'Mode 4'!$Q$7,'Mode 4'!$Q$11,'Mode 4'!$Q$15,'Mode 4'!$Q$19,'Mode 4'!$Q$23,'Mode 4'!$Q$27)</c:f>
              <c:numCache>
                <c:formatCode>General</c:formatCode>
                <c:ptCount val="7"/>
                <c:pt idx="0">
                  <c:v>0.99218543665425352</c:v>
                </c:pt>
                <c:pt idx="1">
                  <c:v>1.8594367383698833</c:v>
                </c:pt>
                <c:pt idx="2">
                  <c:v>3.6382707796510343</c:v>
                </c:pt>
                <c:pt idx="3">
                  <c:v>6.8481839477007096</c:v>
                </c:pt>
                <c:pt idx="4">
                  <c:v>7.7528989721084542</c:v>
                </c:pt>
                <c:pt idx="5">
                  <c:v>9.5675235729242836</c:v>
                </c:pt>
                <c:pt idx="6">
                  <c:v>9.8153279599336045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E1-487A-A078-D96AEB600CDB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4'!$C$2,'Mode 4'!$C$6,'Mode 4'!$C$10,'Mode 4'!$C$14,'Mode 4'!$C$18,'Mode 4'!$C$23,'Mode 4'!$C$27)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4'!$Q$4,'Mode 4'!$Q$8,'Mode 4'!$Q$12,'Mode 4'!$Q$16,'Mode 4'!$Q$20,'Mode 4'!$Q$24,'Mode 4'!$Q$28)</c:f>
              <c:numCache>
                <c:formatCode>General</c:formatCode>
                <c:ptCount val="7"/>
                <c:pt idx="0">
                  <c:v>0.9813966610184649</c:v>
                </c:pt>
                <c:pt idx="1">
                  <c:v>1.6804688840568551</c:v>
                </c:pt>
                <c:pt idx="2">
                  <c:v>4.2683312930789485</c:v>
                </c:pt>
                <c:pt idx="3">
                  <c:v>8.9942894030997778</c:v>
                </c:pt>
                <c:pt idx="4">
                  <c:v>10.625636458001647</c:v>
                </c:pt>
                <c:pt idx="5">
                  <c:v>12.389759236695866</c:v>
                </c:pt>
                <c:pt idx="6">
                  <c:v>12.037578955945978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7E1-487A-A078-D96AEB600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Speedup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6'!$Q$2,'Mode 6'!$Q$6,'Mode 6'!$Q$10,'Mode 6'!$Q$14,'Mode 6'!$Q$18,'Mode 6'!$Q$22,'Mode 6'!$Q$26)</c:f>
              <c:numCache>
                <c:formatCode>General</c:formatCode>
                <c:ptCount val="7"/>
                <c:pt idx="0">
                  <c:v>1.0158360250983072</c:v>
                </c:pt>
                <c:pt idx="1">
                  <c:v>1.8931549754231765</c:v>
                </c:pt>
                <c:pt idx="2">
                  <c:v>3.4405189588042551</c:v>
                </c:pt>
                <c:pt idx="3">
                  <c:v>5.3002316148536517</c:v>
                </c:pt>
                <c:pt idx="4">
                  <c:v>7.0648510216445457</c:v>
                </c:pt>
                <c:pt idx="5">
                  <c:v>9.2767255926074732</c:v>
                </c:pt>
                <c:pt idx="6">
                  <c:v>9.9670509926142081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B6-460C-BC66-ACFE127151E3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6'!$Q$3,'Mode 6'!$Q$7,'Mode 6'!$Q$11,'Mode 6'!$Q$15,'Mode 6'!$Q$19,'Mode 6'!$Q$23,'Mode 6'!$Q$27)</c:f>
              <c:numCache>
                <c:formatCode>General</c:formatCode>
                <c:ptCount val="7"/>
                <c:pt idx="0">
                  <c:v>0.99995165350150861</c:v>
                </c:pt>
                <c:pt idx="1">
                  <c:v>1.8522475708723574</c:v>
                </c:pt>
                <c:pt idx="2">
                  <c:v>3.5084665574671781</c:v>
                </c:pt>
                <c:pt idx="3">
                  <c:v>6.5713306528393938</c:v>
                </c:pt>
                <c:pt idx="4">
                  <c:v>6.0887078571393376</c:v>
                </c:pt>
                <c:pt idx="5">
                  <c:v>7.4364993854410306</c:v>
                </c:pt>
                <c:pt idx="6">
                  <c:v>8.1636191835494056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B6-460C-BC66-ACFE127151E3}"/>
            </c:ext>
          </c:extLst>
        </c:ser>
        <c:ser>
          <c:idx val="2"/>
          <c:order val="2"/>
          <c:tx>
            <c:v>2024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6'!$Q$4,'Mode 6'!$Q$8,'Mode 6'!$Q$12,'Mode 6'!$Q$16,'Mode 6'!$Q$20,'Mode 6'!$Q$24,'Mode 6'!$Q$28)</c:f>
              <c:numCache>
                <c:formatCode>General</c:formatCode>
                <c:ptCount val="7"/>
                <c:pt idx="0">
                  <c:v>1.0072167852000298</c:v>
                </c:pt>
                <c:pt idx="1">
                  <c:v>1.6464874972931296</c:v>
                </c:pt>
                <c:pt idx="2">
                  <c:v>4.378260313744482</c:v>
                </c:pt>
                <c:pt idx="3">
                  <c:v>8.9227264841467218</c:v>
                </c:pt>
                <c:pt idx="4">
                  <c:v>8.7963665795826245</c:v>
                </c:pt>
                <c:pt idx="5">
                  <c:v>11.178932428942916</c:v>
                </c:pt>
                <c:pt idx="6">
                  <c:v>12.346927359815647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B6-460C-BC66-ACFE12715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Efficiency (Blue</a:t>
            </a:r>
            <a:r>
              <a:rPr lang="en-CA" baseline="0"/>
              <a:t> 512, Orange 1024, Green 2048</a:t>
            </a:r>
            <a:r>
              <a:rPr lang="en-CA"/>
              <a:t>) vs Threads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512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6'!$R$2,'Mode 6'!$R$6,'Mode 6'!$R$10,'Mode 6'!$R$14,'Mode 6'!$R$18,'Mode 6'!$R$22,'Mode 6'!$R$26)</c:f>
              <c:numCache>
                <c:formatCode>General</c:formatCode>
                <c:ptCount val="7"/>
                <c:pt idx="0">
                  <c:v>101.58360250983071</c:v>
                </c:pt>
                <c:pt idx="1">
                  <c:v>94.657748771158822</c:v>
                </c:pt>
                <c:pt idx="2">
                  <c:v>86.012973970106373</c:v>
                </c:pt>
                <c:pt idx="3">
                  <c:v>66.252895185670653</c:v>
                </c:pt>
                <c:pt idx="4">
                  <c:v>58.873758513704544</c:v>
                </c:pt>
                <c:pt idx="5">
                  <c:v>57.979534953796708</c:v>
                </c:pt>
                <c:pt idx="6">
                  <c:v>49.835254963071037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D0-4B54-978E-5464D5FBAFFA}"/>
            </c:ext>
          </c:extLst>
        </c:ser>
        <c:ser>
          <c:idx val="1"/>
          <c:order val="1"/>
          <c:tx>
            <c:v>1024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6'!$R$3,'Mode 6'!$R$7,'Mode 6'!$R$11,'Mode 6'!$R$15,'Mode 6'!$R$19,'Mode 6'!$R$23,'Mode 6'!$R$27)</c:f>
              <c:numCache>
                <c:formatCode>General</c:formatCode>
                <c:ptCount val="7"/>
                <c:pt idx="0">
                  <c:v>99.995165350150856</c:v>
                </c:pt>
                <c:pt idx="1">
                  <c:v>92.612378543617865</c:v>
                </c:pt>
                <c:pt idx="2">
                  <c:v>87.711663936679457</c:v>
                </c:pt>
                <c:pt idx="3">
                  <c:v>82.141633160492418</c:v>
                </c:pt>
                <c:pt idx="4">
                  <c:v>50.739232142827817</c:v>
                </c:pt>
                <c:pt idx="5">
                  <c:v>46.478121159006442</c:v>
                </c:pt>
                <c:pt idx="6">
                  <c:v>40.81809591774703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D0-4B54-978E-5464D5FBAFFA}"/>
            </c:ext>
          </c:extLst>
        </c:ser>
        <c:ser>
          <c:idx val="2"/>
          <c:order val="2"/>
          <c:tx>
            <c:v>2048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('Mode 6'!$C$2,'Mode 6'!$C$6,'Mode 6'!$C$10,'Mode 6'!$C$14,'Mode 6'!$C$18,'Mode 6'!$C$22,'Mode 6'!$C$26)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20</c:v>
                </c:pt>
              </c:numCache>
            </c:numRef>
          </c:cat>
          <c:val>
            <c:numRef>
              <c:f>('Mode 6'!$R$4,'Mode 6'!$R$8,'Mode 6'!$R$12,'Mode 6'!$R$16,'Mode 6'!$R$20,'Mode 6'!$R$24,'Mode 6'!$R$28)</c:f>
              <c:numCache>
                <c:formatCode>General</c:formatCode>
                <c:ptCount val="7"/>
                <c:pt idx="0">
                  <c:v>100.72167852000298</c:v>
                </c:pt>
                <c:pt idx="1">
                  <c:v>82.324374864656477</c:v>
                </c:pt>
                <c:pt idx="2">
                  <c:v>109.45650784361204</c:v>
                </c:pt>
                <c:pt idx="3">
                  <c:v>111.53408105183402</c:v>
                </c:pt>
                <c:pt idx="4">
                  <c:v>73.303054829855213</c:v>
                </c:pt>
                <c:pt idx="5">
                  <c:v>69.868327680893231</c:v>
                </c:pt>
                <c:pt idx="6">
                  <c:v>61.734636799078238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D0-4B54-978E-5464D5FBAF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201392"/>
        <c:axId val="2112194672"/>
      </c:lineChart>
      <c:catAx>
        <c:axId val="211220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194672"/>
        <c:crosses val="autoZero"/>
        <c:auto val="1"/>
        <c:lblAlgn val="ctr"/>
        <c:lblOffset val="100"/>
        <c:noMultiLvlLbl val="0"/>
      </c:catAx>
      <c:valAx>
        <c:axId val="211219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20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180975</xdr:rowOff>
    </xdr:from>
    <xdr:to>
      <xdr:col>11</xdr:col>
      <xdr:colOff>142875</xdr:colOff>
      <xdr:row>24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9E20CF-04E6-4AE1-87E9-DD050355D0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133350</xdr:colOff>
      <xdr:row>0</xdr:row>
      <xdr:rowOff>180975</xdr:rowOff>
    </xdr:from>
    <xdr:to>
      <xdr:col>22</xdr:col>
      <xdr:colOff>276225</xdr:colOff>
      <xdr:row>24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3A6FA4-1F39-45A6-9195-318B45DCC9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285750</xdr:colOff>
      <xdr:row>0</xdr:row>
      <xdr:rowOff>161925</xdr:rowOff>
    </xdr:from>
    <xdr:to>
      <xdr:col>33</xdr:col>
      <xdr:colOff>428625</xdr:colOff>
      <xdr:row>24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B15EB-99D4-403C-A9DB-3C4D006699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18</xdr:col>
      <xdr:colOff>0</xdr:colOff>
      <xdr:row>54</xdr:row>
      <xdr:rowOff>123266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E1DC28-A688-4419-8153-325F458CAB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530086</xdr:colOff>
      <xdr:row>4</xdr:row>
      <xdr:rowOff>185531</xdr:rowOff>
    </xdr:from>
    <xdr:to>
      <xdr:col>8</xdr:col>
      <xdr:colOff>198782</xdr:colOff>
      <xdr:row>19</xdr:row>
      <xdr:rowOff>71231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D0770D-3D22-362D-4B78-8ABF132B8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593913</xdr:colOff>
      <xdr:row>0</xdr:row>
      <xdr:rowOff>0</xdr:rowOff>
    </xdr:from>
    <xdr:to>
      <xdr:col>26</xdr:col>
      <xdr:colOff>324971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0205D-D637-43C2-A854-A7077DB61E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14</xdr:row>
      <xdr:rowOff>0</xdr:rowOff>
    </xdr:from>
    <xdr:to>
      <xdr:col>26</xdr:col>
      <xdr:colOff>336176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0D2C4-4154-41C4-9B0A-289E3FAA5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28</xdr:row>
      <xdr:rowOff>179295</xdr:rowOff>
    </xdr:from>
    <xdr:to>
      <xdr:col>26</xdr:col>
      <xdr:colOff>336176</xdr:colOff>
      <xdr:row>43</xdr:row>
      <xdr:rowOff>64995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6538F9-CB75-4C44-B56D-79CF3D9D00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11206</xdr:colOff>
      <xdr:row>43</xdr:row>
      <xdr:rowOff>67236</xdr:rowOff>
    </xdr:from>
    <xdr:to>
      <xdr:col>26</xdr:col>
      <xdr:colOff>347382</xdr:colOff>
      <xdr:row>57</xdr:row>
      <xdr:rowOff>143436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7D1ECF-8438-4521-AD26-6C5DDE0F7E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600075</xdr:colOff>
      <xdr:row>0</xdr:row>
      <xdr:rowOff>0</xdr:rowOff>
    </xdr:from>
    <xdr:to>
      <xdr:col>26</xdr:col>
      <xdr:colOff>295275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AD7F74-3DD6-4029-96AB-0612F55B4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600075</xdr:colOff>
      <xdr:row>14</xdr:row>
      <xdr:rowOff>85725</xdr:rowOff>
    </xdr:from>
    <xdr:to>
      <xdr:col>26</xdr:col>
      <xdr:colOff>295275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27F996-5D30-4C5A-B018-3412D6993D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14</xdr:row>
      <xdr:rowOff>85725</xdr:rowOff>
    </xdr:from>
    <xdr:to>
      <xdr:col>26</xdr:col>
      <xdr:colOff>304800</xdr:colOff>
      <xdr:row>28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C297E-8DCF-5CED-580F-0DACBFADB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0</xdr:row>
      <xdr:rowOff>9525</xdr:rowOff>
    </xdr:from>
    <xdr:to>
      <xdr:col>26</xdr:col>
      <xdr:colOff>304800</xdr:colOff>
      <xdr:row>14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06DFB-F145-46B7-8659-C8D91DEA3C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0</xdr:row>
      <xdr:rowOff>0</xdr:rowOff>
    </xdr:from>
    <xdr:to>
      <xdr:col>26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39347-9933-4545-B59C-23450228B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14</xdr:row>
      <xdr:rowOff>95250</xdr:rowOff>
    </xdr:from>
    <xdr:to>
      <xdr:col>26</xdr:col>
      <xdr:colOff>304800</xdr:colOff>
      <xdr:row>28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29CCD-D48B-48BF-8638-B141421C0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DC7F-0C56-4638-AB2E-4FF7271ECACE}">
  <dimension ref="A1"/>
  <sheetViews>
    <sheetView zoomScale="70" zoomScaleNormal="70" workbookViewId="0">
      <selection activeCell="AG48" sqref="AG48"/>
    </sheetView>
  </sheetViews>
  <sheetFormatPr defaultRowHeight="15" x14ac:dyDescent="0.25"/>
  <sheetData>
    <row r="1" spans="1:1" x14ac:dyDescent="0.25">
      <c r="A1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6A95-BB10-4ACA-8B3E-2662AD37A265}">
  <dimension ref="A1:O4"/>
  <sheetViews>
    <sheetView tabSelected="1" zoomScale="115" zoomScaleNormal="115" workbookViewId="0">
      <selection activeCell="N19" sqref="N19"/>
    </sheetView>
  </sheetViews>
  <sheetFormatPr defaultRowHeight="15" x14ac:dyDescent="0.25"/>
  <cols>
    <col min="15" max="15" width="12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25">
      <c r="A2">
        <v>512</v>
      </c>
      <c r="B2">
        <v>0</v>
      </c>
      <c r="C2">
        <v>1</v>
      </c>
      <c r="E2">
        <v>0.21995000000000001</v>
      </c>
      <c r="F2">
        <v>0.23585</v>
      </c>
      <c r="G2">
        <v>0.22725200000000001</v>
      </c>
      <c r="H2">
        <v>0.22639899999999999</v>
      </c>
      <c r="I2">
        <v>0.23391899999999999</v>
      </c>
      <c r="J2">
        <v>0.24268600000000001</v>
      </c>
      <c r="K2">
        <v>0.227238</v>
      </c>
      <c r="L2">
        <v>0.23514499999999999</v>
      </c>
      <c r="M2">
        <v>0.226741</v>
      </c>
      <c r="N2">
        <v>0.233797</v>
      </c>
      <c r="O2">
        <f>AVERAGE(D2:N2)</f>
        <v>0.23089770000000001</v>
      </c>
    </row>
    <row r="3" spans="1:15" x14ac:dyDescent="0.25">
      <c r="A3">
        <v>1024</v>
      </c>
      <c r="B3">
        <v>0</v>
      </c>
      <c r="C3">
        <v>1</v>
      </c>
      <c r="E3">
        <v>1.850986</v>
      </c>
      <c r="F3">
        <v>1.8522000000000001</v>
      </c>
      <c r="G3">
        <v>1.8434109999999999</v>
      </c>
      <c r="H3">
        <v>1.840387</v>
      </c>
      <c r="I3">
        <v>1.8488100000000001</v>
      </c>
      <c r="J3">
        <v>1.8503350000000001</v>
      </c>
      <c r="K3">
        <v>1.8909899999999999</v>
      </c>
      <c r="L3">
        <v>1.859111</v>
      </c>
      <c r="M3">
        <v>1.8354269999999999</v>
      </c>
      <c r="N3">
        <v>1.86033</v>
      </c>
      <c r="O3">
        <f>AVERAGE(D3:N3)</f>
        <v>1.8531987000000001</v>
      </c>
    </row>
    <row r="4" spans="1:15" x14ac:dyDescent="0.25">
      <c r="A4">
        <v>2048</v>
      </c>
      <c r="B4">
        <v>0</v>
      </c>
      <c r="C4">
        <v>1</v>
      </c>
      <c r="E4">
        <v>45.975320000000004</v>
      </c>
      <c r="F4">
        <v>47.982635000000002</v>
      </c>
      <c r="G4">
        <v>47.254229000000002</v>
      </c>
      <c r="H4">
        <v>46.530127</v>
      </c>
      <c r="I4">
        <v>49.692846000000003</v>
      </c>
      <c r="J4">
        <v>47.546796999999998</v>
      </c>
      <c r="K4">
        <v>48.967995999999999</v>
      </c>
      <c r="L4">
        <v>49.292816000000002</v>
      </c>
      <c r="M4">
        <v>46.314853999999997</v>
      </c>
      <c r="N4">
        <v>48.034902000000002</v>
      </c>
      <c r="O4">
        <f>AVERAGE(D4:N4)</f>
        <v>47.759252199999992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6EBC5-EEA6-4540-9714-B077FACA497D}">
  <dimension ref="A1:S58"/>
  <sheetViews>
    <sheetView topLeftCell="A13" zoomScale="70" zoomScaleNormal="70" workbookViewId="0">
      <selection activeCell="AD29" sqref="AD29"/>
    </sheetView>
  </sheetViews>
  <sheetFormatPr defaultRowHeight="15" x14ac:dyDescent="0.25"/>
  <cols>
    <col min="15" max="15" width="13.28515625" customWidth="1"/>
    <col min="18" max="18" width="12.28515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/>
      <c r="Q1" t="s">
        <v>4</v>
      </c>
      <c r="R1" t="s">
        <v>32</v>
      </c>
      <c r="S1" s="1"/>
    </row>
    <row r="2" spans="1:19" x14ac:dyDescent="0.25">
      <c r="A2">
        <v>512</v>
      </c>
      <c r="B2">
        <v>1</v>
      </c>
      <c r="C2">
        <v>1</v>
      </c>
      <c r="D2" t="s">
        <v>30</v>
      </c>
      <c r="E2">
        <v>0.238677</v>
      </c>
      <c r="F2">
        <v>0.228328</v>
      </c>
      <c r="G2">
        <v>0.23197699999999999</v>
      </c>
      <c r="H2">
        <v>0.229795</v>
      </c>
      <c r="I2">
        <v>0.23008200000000001</v>
      </c>
      <c r="J2">
        <v>0.223667</v>
      </c>
      <c r="K2">
        <v>0.23261000000000001</v>
      </c>
      <c r="L2">
        <v>0.22111500000000001</v>
      </c>
      <c r="M2">
        <v>0.22928499999999999</v>
      </c>
      <c r="N2">
        <v>0.23224800000000001</v>
      </c>
      <c r="O2">
        <f>AVERAGE(D2:N2)</f>
        <v>0.22977839999999999</v>
      </c>
      <c r="P2" s="1"/>
      <c r="Q2">
        <f>(('Mode 0'!O2)/(O2))</f>
        <v>1.0048712150489343</v>
      </c>
      <c r="R2">
        <f>_xlfn.PERCENTOF(Q2,C2)*100</f>
        <v>100.48712150489342</v>
      </c>
      <c r="S2" s="1"/>
    </row>
    <row r="3" spans="1:19" x14ac:dyDescent="0.25">
      <c r="A3">
        <v>1024</v>
      </c>
      <c r="B3">
        <v>1</v>
      </c>
      <c r="C3">
        <v>1</v>
      </c>
      <c r="D3" t="s">
        <v>30</v>
      </c>
      <c r="E3">
        <v>1.847531</v>
      </c>
      <c r="F3">
        <v>1.858355</v>
      </c>
      <c r="G3">
        <v>1.8477440000000001</v>
      </c>
      <c r="H3">
        <v>1.8608579999999999</v>
      </c>
      <c r="I3">
        <v>1.8636740000000001</v>
      </c>
      <c r="J3">
        <v>1.857445</v>
      </c>
      <c r="K3">
        <v>1.8525069999999999</v>
      </c>
      <c r="L3">
        <v>1.858663</v>
      </c>
      <c r="M3">
        <v>1.8540719999999999</v>
      </c>
      <c r="N3">
        <v>1.8700140000000001</v>
      </c>
      <c r="O3">
        <f>AVERAGE(D3:N3)</f>
        <v>1.8570863</v>
      </c>
      <c r="P3" s="1"/>
      <c r="Q3">
        <f>(('Mode 0'!O3)/(O3))</f>
        <v>0.99790661317139662</v>
      </c>
      <c r="R3">
        <f>_xlfn.PERCENTOF(Q3,C3)*100</f>
        <v>99.790661317139666</v>
      </c>
      <c r="S3" s="1"/>
    </row>
    <row r="4" spans="1:19" x14ac:dyDescent="0.25">
      <c r="A4">
        <v>2048</v>
      </c>
      <c r="B4">
        <v>1</v>
      </c>
      <c r="C4">
        <v>1</v>
      </c>
      <c r="D4" t="s">
        <v>30</v>
      </c>
      <c r="E4">
        <v>44.956353999999997</v>
      </c>
      <c r="F4">
        <v>47.282966000000002</v>
      </c>
      <c r="G4">
        <v>45.812846999999998</v>
      </c>
      <c r="H4">
        <v>46.580613</v>
      </c>
      <c r="I4">
        <v>49.065679000000003</v>
      </c>
      <c r="J4">
        <v>47.630265999999999</v>
      </c>
      <c r="K4">
        <v>46.629286</v>
      </c>
      <c r="L4">
        <v>46.284742999999999</v>
      </c>
      <c r="M4">
        <v>50.174486000000002</v>
      </c>
      <c r="N4">
        <v>48.596950999999997</v>
      </c>
      <c r="O4">
        <f>AVERAGE(D4:N4)</f>
        <v>47.301419099999997</v>
      </c>
      <c r="P4" s="1"/>
      <c r="Q4">
        <f>(('Mode 0'!O4)/(O4))</f>
        <v>1.0096790563308913</v>
      </c>
      <c r="R4">
        <f>_xlfn.PERCENTOF(Q4,C4)*100</f>
        <v>100.96790563308913</v>
      </c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>
        <v>512</v>
      </c>
      <c r="B6">
        <v>1</v>
      </c>
      <c r="C6">
        <v>2</v>
      </c>
      <c r="D6" t="s">
        <v>30</v>
      </c>
      <c r="E6">
        <v>0.120597</v>
      </c>
      <c r="F6">
        <v>0.121762</v>
      </c>
      <c r="G6">
        <v>0.118838</v>
      </c>
      <c r="H6">
        <v>0.119326</v>
      </c>
      <c r="I6">
        <v>0.11995400000000001</v>
      </c>
      <c r="J6">
        <v>0.119334</v>
      </c>
      <c r="K6">
        <v>0.12388200000000001</v>
      </c>
      <c r="L6">
        <v>0.123275</v>
      </c>
      <c r="M6">
        <v>0.115563</v>
      </c>
      <c r="N6">
        <v>0.12299300000000001</v>
      </c>
      <c r="O6">
        <f>AVERAGE(D6:N6)</f>
        <v>0.1205524</v>
      </c>
      <c r="P6" s="1"/>
      <c r="Q6">
        <f>(('Mode 0'!O2)/(O6))</f>
        <v>1.9153305948284729</v>
      </c>
      <c r="R6">
        <f>_xlfn.PERCENTOF(Q6,C6)*100</f>
        <v>95.766529741423639</v>
      </c>
      <c r="S6" s="1"/>
    </row>
    <row r="7" spans="1:19" x14ac:dyDescent="0.25">
      <c r="A7">
        <v>1024</v>
      </c>
      <c r="B7">
        <v>1</v>
      </c>
      <c r="C7">
        <v>2</v>
      </c>
      <c r="D7" t="s">
        <v>30</v>
      </c>
      <c r="E7">
        <v>1.0076860000000001</v>
      </c>
      <c r="F7">
        <v>0.97906300000000002</v>
      </c>
      <c r="G7">
        <v>1.0106010000000001</v>
      </c>
      <c r="H7">
        <v>0.97053199999999995</v>
      </c>
      <c r="I7">
        <v>0.99942799999999998</v>
      </c>
      <c r="J7">
        <v>0.98832600000000004</v>
      </c>
      <c r="K7">
        <v>1.0094069999999999</v>
      </c>
      <c r="L7">
        <v>1.0098100000000001</v>
      </c>
      <c r="M7">
        <v>1.01145</v>
      </c>
      <c r="N7">
        <v>1.015531</v>
      </c>
      <c r="O7">
        <f>AVERAGE(D7:N7)</f>
        <v>1.0001833999999998</v>
      </c>
      <c r="P7" s="1"/>
      <c r="Q7">
        <f>(('Mode 0'!O3)/(O7))</f>
        <v>1.8528588856803667</v>
      </c>
      <c r="R7">
        <f>_xlfn.PERCENTOF(Q7,C7)*100</f>
        <v>92.642944284018341</v>
      </c>
      <c r="S7" s="1"/>
    </row>
    <row r="8" spans="1:19" x14ac:dyDescent="0.25">
      <c r="A8">
        <v>2048</v>
      </c>
      <c r="B8">
        <v>1</v>
      </c>
      <c r="C8">
        <v>2</v>
      </c>
      <c r="D8" t="s">
        <v>30</v>
      </c>
      <c r="E8">
        <v>28.525129</v>
      </c>
      <c r="F8">
        <v>29.17164</v>
      </c>
      <c r="G8">
        <v>29.000758000000001</v>
      </c>
      <c r="H8">
        <v>29.133234000000002</v>
      </c>
      <c r="I8">
        <v>27.833344</v>
      </c>
      <c r="J8">
        <v>28.508322</v>
      </c>
      <c r="K8">
        <v>27.604970999999999</v>
      </c>
      <c r="L8">
        <v>30.397100999999999</v>
      </c>
      <c r="M8">
        <v>27.760204999999999</v>
      </c>
      <c r="N8">
        <v>30.029765999999999</v>
      </c>
      <c r="O8">
        <f>AVERAGE(D8:N8)</f>
        <v>28.796447000000001</v>
      </c>
      <c r="P8" s="1"/>
      <c r="Q8">
        <f>(('Mode 0'!O4)/(O8))</f>
        <v>1.6585119754530824</v>
      </c>
      <c r="R8">
        <f>_xlfn.PERCENTOF(Q8,C8)*100</f>
        <v>82.925598772654112</v>
      </c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>
        <v>512</v>
      </c>
      <c r="B10">
        <v>1</v>
      </c>
      <c r="C10">
        <v>4</v>
      </c>
      <c r="D10" t="s">
        <v>30</v>
      </c>
      <c r="E10">
        <v>6.6893999999999995E-2</v>
      </c>
      <c r="F10">
        <v>6.5103999999999995E-2</v>
      </c>
      <c r="G10">
        <v>6.6444000000000003E-2</v>
      </c>
      <c r="H10">
        <v>6.8694000000000005E-2</v>
      </c>
      <c r="I10">
        <v>6.3834000000000002E-2</v>
      </c>
      <c r="J10">
        <v>6.4746999999999999E-2</v>
      </c>
      <c r="K10">
        <v>6.7075999999999997E-2</v>
      </c>
      <c r="L10">
        <v>6.3855999999999996E-2</v>
      </c>
      <c r="M10">
        <v>6.5495999999999999E-2</v>
      </c>
      <c r="N10">
        <v>7.7736E-2</v>
      </c>
      <c r="O10">
        <f>AVERAGE(D10:N10)</f>
        <v>6.6988100000000009E-2</v>
      </c>
      <c r="P10" s="1"/>
      <c r="Q10">
        <f>(('Mode 0'!O2)/(O10))</f>
        <v>3.4468465294582171</v>
      </c>
      <c r="R10">
        <f>_xlfn.PERCENTOF(Q10,C10)*100</f>
        <v>86.171163236455428</v>
      </c>
      <c r="S10" s="1"/>
    </row>
    <row r="11" spans="1:19" x14ac:dyDescent="0.25">
      <c r="A11">
        <v>1024</v>
      </c>
      <c r="B11">
        <v>1</v>
      </c>
      <c r="C11">
        <v>4</v>
      </c>
      <c r="D11" t="s">
        <v>30</v>
      </c>
      <c r="E11">
        <v>0.52865200000000001</v>
      </c>
      <c r="F11">
        <v>0.51282099999999997</v>
      </c>
      <c r="G11">
        <v>0.52871999999999997</v>
      </c>
      <c r="H11">
        <v>0.52777300000000005</v>
      </c>
      <c r="I11">
        <v>0.53656999999999999</v>
      </c>
      <c r="J11">
        <v>0.51876900000000004</v>
      </c>
      <c r="K11">
        <v>0.52950799999999998</v>
      </c>
      <c r="L11">
        <v>0.505749</v>
      </c>
      <c r="M11">
        <v>0.52511200000000002</v>
      </c>
      <c r="N11">
        <v>0.521706</v>
      </c>
      <c r="O11">
        <f>AVERAGE(D11:N11)</f>
        <v>0.52353799999999995</v>
      </c>
      <c r="P11" s="1"/>
      <c r="Q11">
        <f>(('Mode 0'!O3)/(O11))</f>
        <v>3.5397596736053547</v>
      </c>
      <c r="R11">
        <f>_xlfn.PERCENTOF(Q11,C11)*100</f>
        <v>88.493991840133873</v>
      </c>
      <c r="S11" s="1"/>
    </row>
    <row r="12" spans="1:19" x14ac:dyDescent="0.25">
      <c r="A12">
        <v>2048</v>
      </c>
      <c r="B12">
        <v>1</v>
      </c>
      <c r="C12">
        <v>4</v>
      </c>
      <c r="D12" t="s">
        <v>30</v>
      </c>
      <c r="E12">
        <v>11.510987</v>
      </c>
      <c r="F12">
        <v>10.721017</v>
      </c>
      <c r="G12">
        <v>11.667308999999999</v>
      </c>
      <c r="H12">
        <v>10.760125</v>
      </c>
      <c r="I12">
        <v>11.330572</v>
      </c>
      <c r="J12">
        <v>10.838474</v>
      </c>
      <c r="K12">
        <v>10.70659</v>
      </c>
      <c r="L12">
        <v>13.811586999999999</v>
      </c>
      <c r="M12">
        <v>10.947552</v>
      </c>
      <c r="N12">
        <v>10.866992</v>
      </c>
      <c r="O12">
        <f>AVERAGE(D12:N12)</f>
        <v>11.3161205</v>
      </c>
      <c r="P12" s="1"/>
      <c r="Q12">
        <f>(('Mode 0'!O4)/(O12))</f>
        <v>4.2204616149147576</v>
      </c>
      <c r="R12">
        <f>_xlfn.PERCENTOF(Q12,C12)*100</f>
        <v>105.51154037286894</v>
      </c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>
        <v>512</v>
      </c>
      <c r="B14">
        <v>1</v>
      </c>
      <c r="C14">
        <v>8</v>
      </c>
      <c r="D14" t="s">
        <v>30</v>
      </c>
      <c r="E14">
        <v>3.6061000000000003E-2</v>
      </c>
      <c r="F14">
        <v>3.5774E-2</v>
      </c>
      <c r="G14">
        <v>3.7420000000000002E-2</v>
      </c>
      <c r="H14">
        <v>3.5871E-2</v>
      </c>
      <c r="I14">
        <v>3.4547000000000001E-2</v>
      </c>
      <c r="J14">
        <v>5.0681999999999998E-2</v>
      </c>
      <c r="K14">
        <v>3.5778999999999998E-2</v>
      </c>
      <c r="L14">
        <v>3.6491000000000003E-2</v>
      </c>
      <c r="M14">
        <v>4.3524E-2</v>
      </c>
      <c r="N14">
        <v>4.5649000000000002E-2</v>
      </c>
      <c r="O14">
        <f>AVERAGE(D14:N14)</f>
        <v>3.9179800000000001E-2</v>
      </c>
      <c r="P14" s="1"/>
      <c r="Q14">
        <f>(('Mode 0'!O2)/(O14))</f>
        <v>5.8932842944578585</v>
      </c>
      <c r="R14">
        <f>_xlfn.PERCENTOF(Q14,C14)*100</f>
        <v>73.666053680723238</v>
      </c>
      <c r="S14" s="1"/>
    </row>
    <row r="15" spans="1:19" x14ac:dyDescent="0.25">
      <c r="A15">
        <v>1024</v>
      </c>
      <c r="B15">
        <v>1</v>
      </c>
      <c r="C15">
        <v>8</v>
      </c>
      <c r="D15" t="s">
        <v>30</v>
      </c>
      <c r="E15">
        <v>0.27962999999999999</v>
      </c>
      <c r="F15">
        <v>0.30044999999999999</v>
      </c>
      <c r="G15">
        <v>0.27992800000000001</v>
      </c>
      <c r="H15">
        <v>0.282698</v>
      </c>
      <c r="I15">
        <v>0.28654600000000002</v>
      </c>
      <c r="J15">
        <v>0.28171600000000002</v>
      </c>
      <c r="K15">
        <v>0.29867700000000003</v>
      </c>
      <c r="L15">
        <v>0.29073900000000003</v>
      </c>
      <c r="M15">
        <v>0.28925200000000001</v>
      </c>
      <c r="N15">
        <v>0.28043699999999999</v>
      </c>
      <c r="O15">
        <f>AVERAGE(D15:N15)</f>
        <v>0.28700729999999997</v>
      </c>
      <c r="P15" s="1"/>
      <c r="Q15">
        <f>(('Mode 0'!O3)/(O15))</f>
        <v>6.4569740909029152</v>
      </c>
      <c r="R15">
        <f>_xlfn.PERCENTOF(Q15,C15)*100</f>
        <v>80.712176136286445</v>
      </c>
      <c r="S15" s="1"/>
    </row>
    <row r="16" spans="1:19" x14ac:dyDescent="0.25">
      <c r="A16">
        <v>2048</v>
      </c>
      <c r="B16">
        <v>1</v>
      </c>
      <c r="C16">
        <v>8</v>
      </c>
      <c r="D16" t="s">
        <v>30</v>
      </c>
      <c r="E16">
        <v>5.2034539999999998</v>
      </c>
      <c r="F16">
        <v>5.4320750000000002</v>
      </c>
      <c r="G16">
        <v>5.2128199999999998</v>
      </c>
      <c r="H16">
        <v>5.5075279999999998</v>
      </c>
      <c r="I16">
        <v>5.5415469999999996</v>
      </c>
      <c r="J16">
        <v>5.1508929999999999</v>
      </c>
      <c r="K16">
        <v>5.0523059999999997</v>
      </c>
      <c r="L16">
        <v>5.2799909999999999</v>
      </c>
      <c r="M16">
        <v>5.1491389999999999</v>
      </c>
      <c r="N16">
        <v>5.285355</v>
      </c>
      <c r="O16">
        <f>AVERAGE(D16:N16)</f>
        <v>5.2815108000000004</v>
      </c>
      <c r="P16" s="1"/>
      <c r="Q16">
        <f>(('Mode 0'!O4)/(O16))</f>
        <v>9.0427254640850094</v>
      </c>
      <c r="R16">
        <f>_xlfn.PERCENTOF(Q16,C16)*100</f>
        <v>113.03406830106262</v>
      </c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>
        <v>512</v>
      </c>
      <c r="B18">
        <v>1</v>
      </c>
      <c r="C18">
        <v>12</v>
      </c>
      <c r="D18" t="s">
        <v>30</v>
      </c>
      <c r="E18">
        <v>3.3480000000000003E-2</v>
      </c>
      <c r="F18">
        <v>3.2647000000000002E-2</v>
      </c>
      <c r="G18">
        <v>3.2261999999999999E-2</v>
      </c>
      <c r="H18">
        <v>3.2766000000000003E-2</v>
      </c>
      <c r="I18">
        <v>2.8229000000000001E-2</v>
      </c>
      <c r="J18">
        <v>2.9918E-2</v>
      </c>
      <c r="K18">
        <v>3.1394999999999999E-2</v>
      </c>
      <c r="L18">
        <v>3.3005E-2</v>
      </c>
      <c r="M18">
        <v>2.9891000000000001E-2</v>
      </c>
      <c r="N18">
        <v>2.8545000000000001E-2</v>
      </c>
      <c r="O18">
        <f>AVERAGE(D18:N18)</f>
        <v>3.1213800000000003E-2</v>
      </c>
      <c r="P18" s="1"/>
      <c r="Q18">
        <f>(('Mode 0'!O2)/(O18))</f>
        <v>7.3972954270226623</v>
      </c>
      <c r="R18">
        <f>_xlfn.PERCENTOF(Q18,C18)*100</f>
        <v>61.644128558522183</v>
      </c>
      <c r="S18" s="1"/>
    </row>
    <row r="19" spans="1:19" x14ac:dyDescent="0.25">
      <c r="A19">
        <v>1024</v>
      </c>
      <c r="B19">
        <v>1</v>
      </c>
      <c r="C19">
        <v>12</v>
      </c>
      <c r="D19" t="s">
        <v>30</v>
      </c>
      <c r="E19">
        <v>0.30019299999999999</v>
      </c>
      <c r="F19">
        <v>0.31182300000000002</v>
      </c>
      <c r="G19">
        <v>0.30387999999999998</v>
      </c>
      <c r="H19">
        <v>0.29991000000000001</v>
      </c>
      <c r="I19">
        <v>0.30363800000000002</v>
      </c>
      <c r="J19">
        <v>0.31398399999999999</v>
      </c>
      <c r="K19">
        <v>0.30238900000000002</v>
      </c>
      <c r="L19">
        <v>0.30502499999999999</v>
      </c>
      <c r="M19">
        <v>0.31134499999999998</v>
      </c>
      <c r="N19">
        <v>0.30704900000000002</v>
      </c>
      <c r="O19">
        <f>AVERAGE(D19:N19)</f>
        <v>0.30592360000000002</v>
      </c>
      <c r="P19" s="1"/>
      <c r="Q19">
        <f>(('Mode 0'!O3)/(O19))</f>
        <v>6.0577173516525038</v>
      </c>
      <c r="R19">
        <f>_xlfn.PERCENTOF(Q19,C19)*100</f>
        <v>50.480977930437533</v>
      </c>
      <c r="S19" s="1"/>
    </row>
    <row r="20" spans="1:19" x14ac:dyDescent="0.25">
      <c r="A20">
        <v>2048</v>
      </c>
      <c r="B20">
        <v>1</v>
      </c>
      <c r="C20">
        <v>12</v>
      </c>
      <c r="D20" t="s">
        <v>30</v>
      </c>
      <c r="E20">
        <v>5.2369269999999997</v>
      </c>
      <c r="F20">
        <v>5.290203</v>
      </c>
      <c r="G20">
        <v>5.1452020000000003</v>
      </c>
      <c r="H20">
        <v>5.4036650000000002</v>
      </c>
      <c r="I20">
        <v>5.3183670000000003</v>
      </c>
      <c r="J20">
        <v>5.7148180000000002</v>
      </c>
      <c r="K20">
        <v>5.3977789999999999</v>
      </c>
      <c r="L20">
        <v>5.4536949999999997</v>
      </c>
      <c r="M20">
        <v>5.4199460000000004</v>
      </c>
      <c r="N20">
        <v>5.274553</v>
      </c>
      <c r="O20">
        <f>AVERAGE(D20:N20)</f>
        <v>5.3655154999999999</v>
      </c>
      <c r="P20" s="1"/>
      <c r="Q20">
        <f>(('Mode 0'!O4)/(O20))</f>
        <v>8.9011488644474124</v>
      </c>
      <c r="R20">
        <f>_xlfn.PERCENTOF(Q20,C20)*100</f>
        <v>74.176240537061773</v>
      </c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>
        <v>512</v>
      </c>
      <c r="B22">
        <v>1</v>
      </c>
      <c r="C22">
        <v>16</v>
      </c>
      <c r="D22" t="s">
        <v>30</v>
      </c>
      <c r="E22">
        <v>2.3022000000000001E-2</v>
      </c>
      <c r="F22">
        <v>2.3664000000000001E-2</v>
      </c>
      <c r="G22">
        <v>2.3007E-2</v>
      </c>
      <c r="H22">
        <v>2.8767999999999998E-2</v>
      </c>
      <c r="I22">
        <v>2.6266000000000001E-2</v>
      </c>
      <c r="J22">
        <v>2.4625999999999999E-2</v>
      </c>
      <c r="K22">
        <v>2.6476E-2</v>
      </c>
      <c r="L22">
        <v>2.5804000000000001E-2</v>
      </c>
      <c r="M22">
        <v>2.5364000000000001E-2</v>
      </c>
      <c r="N22">
        <v>2.6575999999999999E-2</v>
      </c>
      <c r="O22">
        <f>AVERAGE(D22:N22)</f>
        <v>2.5357299999999999E-2</v>
      </c>
      <c r="P22" s="1"/>
      <c r="Q22">
        <f>(('Mode 0'!O2)/(O22))</f>
        <v>9.105768358618624</v>
      </c>
      <c r="R22">
        <f>_xlfn.PERCENTOF(Q22,C22)*100</f>
        <v>56.911052241366399</v>
      </c>
      <c r="S22" s="1"/>
    </row>
    <row r="23" spans="1:19" x14ac:dyDescent="0.25">
      <c r="A23">
        <v>1024</v>
      </c>
      <c r="B23">
        <v>1</v>
      </c>
      <c r="C23">
        <v>16</v>
      </c>
      <c r="D23" t="s">
        <v>30</v>
      </c>
      <c r="E23">
        <v>0.25833800000000001</v>
      </c>
      <c r="F23">
        <v>0.25137399999999999</v>
      </c>
      <c r="G23">
        <v>0.253747</v>
      </c>
      <c r="H23">
        <v>0.25448199999999999</v>
      </c>
      <c r="I23">
        <v>0.25872099999999998</v>
      </c>
      <c r="J23">
        <v>0.25610899999999998</v>
      </c>
      <c r="K23">
        <v>0.25388100000000002</v>
      </c>
      <c r="L23">
        <v>0.273675</v>
      </c>
      <c r="M23">
        <v>0.25667200000000001</v>
      </c>
      <c r="N23">
        <v>0.25430000000000003</v>
      </c>
      <c r="O23">
        <f>AVERAGE(D23:N23)</f>
        <v>0.25712990000000002</v>
      </c>
      <c r="P23" s="1"/>
      <c r="Q23">
        <f>(('Mode 0'!O3)/(O23))</f>
        <v>7.2072469985015353</v>
      </c>
      <c r="R23">
        <f>_xlfn.PERCENTOF(Q23,C23)*100</f>
        <v>45.045293740634598</v>
      </c>
      <c r="S23" s="1"/>
    </row>
    <row r="24" spans="1:19" x14ac:dyDescent="0.25">
      <c r="A24">
        <v>2048</v>
      </c>
      <c r="B24">
        <v>1</v>
      </c>
      <c r="C24">
        <v>16</v>
      </c>
      <c r="D24" t="s">
        <v>30</v>
      </c>
      <c r="E24">
        <v>4.2731950000000003</v>
      </c>
      <c r="F24">
        <v>4.1657859999999998</v>
      </c>
      <c r="G24">
        <v>3.98143</v>
      </c>
      <c r="H24">
        <v>4.2770219999999997</v>
      </c>
      <c r="I24">
        <v>4.2547600000000001</v>
      </c>
      <c r="J24">
        <v>4.2034459999999996</v>
      </c>
      <c r="K24">
        <v>4.2953219999999996</v>
      </c>
      <c r="L24">
        <v>4.3816569999999997</v>
      </c>
      <c r="M24">
        <v>4.2800940000000001</v>
      </c>
      <c r="N24">
        <v>4.301609</v>
      </c>
      <c r="O24">
        <f>AVERAGE(D24:N24)</f>
        <v>4.241432099999999</v>
      </c>
      <c r="P24" s="1"/>
      <c r="Q24">
        <f>(('Mode 0'!O4)/(O24))</f>
        <v>11.260171346371431</v>
      </c>
      <c r="R24">
        <f>_xlfn.PERCENTOF(Q24,C24)*100</f>
        <v>70.37607091482144</v>
      </c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>
        <v>512</v>
      </c>
      <c r="B26">
        <v>1</v>
      </c>
      <c r="C26">
        <v>20</v>
      </c>
      <c r="D26" t="s">
        <v>30</v>
      </c>
      <c r="E26">
        <v>2.0479999999999999E-3</v>
      </c>
      <c r="F26">
        <v>1.7888000000000001E-2</v>
      </c>
      <c r="G26">
        <v>2.0310999999999999E-2</v>
      </c>
      <c r="H26">
        <v>2.2315000000000002E-2</v>
      </c>
      <c r="I26">
        <v>2.3002000000000002E-2</v>
      </c>
      <c r="J26">
        <v>2.1467E-2</v>
      </c>
      <c r="K26">
        <v>2.9284999999999999E-2</v>
      </c>
      <c r="L26">
        <v>2.0863E-2</v>
      </c>
      <c r="M26">
        <v>2.0650000000000002E-2</v>
      </c>
      <c r="N26">
        <v>2.0008999999999999E-2</v>
      </c>
      <c r="O26">
        <f>AVERAGE(D26:N26)</f>
        <v>1.9783799999999997E-2</v>
      </c>
      <c r="P26" s="1"/>
      <c r="Q26">
        <f>(('Mode 0'!O2)/(O26))</f>
        <v>11.671049040123739</v>
      </c>
      <c r="R26">
        <f>_xlfn.PERCENTOF(Q26,C26)*100</f>
        <v>58.355245200618697</v>
      </c>
      <c r="S26" s="1"/>
    </row>
    <row r="27" spans="1:19" x14ac:dyDescent="0.25">
      <c r="A27">
        <v>1024</v>
      </c>
      <c r="B27">
        <v>1</v>
      </c>
      <c r="C27">
        <v>20</v>
      </c>
      <c r="D27" t="s">
        <v>30</v>
      </c>
      <c r="E27">
        <v>0.22866800000000001</v>
      </c>
      <c r="F27">
        <v>0.22928799999999999</v>
      </c>
      <c r="G27">
        <v>0.23932500000000001</v>
      </c>
      <c r="H27">
        <v>0.23597000000000001</v>
      </c>
      <c r="I27">
        <v>0.22991600000000001</v>
      </c>
      <c r="J27">
        <v>0.23744100000000001</v>
      </c>
      <c r="K27">
        <v>0.236072</v>
      </c>
      <c r="L27">
        <v>0.24604500000000001</v>
      </c>
      <c r="M27">
        <v>0.228797</v>
      </c>
      <c r="N27">
        <v>0.24263599999999999</v>
      </c>
      <c r="O27">
        <f>AVERAGE(D27:N27)</f>
        <v>0.23541580000000004</v>
      </c>
      <c r="P27" s="1"/>
      <c r="Q27">
        <f>(('Mode 0'!O3)/(O27))</f>
        <v>7.872023458068659</v>
      </c>
      <c r="R27">
        <f>_xlfn.PERCENTOF(Q27,C27)*100</f>
        <v>39.360117290343297</v>
      </c>
      <c r="S27" s="1"/>
    </row>
    <row r="28" spans="1:19" x14ac:dyDescent="0.25">
      <c r="A28">
        <v>2048</v>
      </c>
      <c r="B28">
        <v>1</v>
      </c>
      <c r="C28">
        <v>20</v>
      </c>
      <c r="D28" t="s">
        <v>30</v>
      </c>
      <c r="E28">
        <v>4.2106440000000003</v>
      </c>
      <c r="F28">
        <v>4.2785979999999997</v>
      </c>
      <c r="G28">
        <v>4.1200400000000004</v>
      </c>
      <c r="H28">
        <v>3.9012259999999999</v>
      </c>
      <c r="I28">
        <v>3.796678</v>
      </c>
      <c r="J28">
        <v>3.7873329999999998</v>
      </c>
      <c r="K28">
        <v>4.076492</v>
      </c>
      <c r="L28">
        <v>3.7487400000000002</v>
      </c>
      <c r="M28">
        <v>3.809631</v>
      </c>
      <c r="N28">
        <v>4.0510799999999998</v>
      </c>
      <c r="O28">
        <f>AVERAGE(D28:N28)</f>
        <v>3.9780462000000001</v>
      </c>
      <c r="P28" s="1"/>
      <c r="Q28">
        <f>(('Mode 0'!O4)/(O28))</f>
        <v>12.00570576581036</v>
      </c>
      <c r="R28">
        <f>_xlfn.PERCENTOF(Q28,C28)*100</f>
        <v>60.028528829051794</v>
      </c>
      <c r="S28" s="1"/>
    </row>
    <row r="29" spans="1: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1"/>
      <c r="Q29" s="1"/>
      <c r="R29" s="1"/>
      <c r="S29" s="1"/>
    </row>
    <row r="30" spans="1:19" x14ac:dyDescent="0.25">
      <c r="A30" t="s">
        <v>0</v>
      </c>
      <c r="B30" t="s">
        <v>1</v>
      </c>
      <c r="C30" t="s">
        <v>2</v>
      </c>
      <c r="D30" t="s">
        <v>3</v>
      </c>
      <c r="E30" t="s">
        <v>6</v>
      </c>
      <c r="F30" t="s">
        <v>7</v>
      </c>
      <c r="G30" t="s">
        <v>8</v>
      </c>
      <c r="H30" t="s">
        <v>9</v>
      </c>
      <c r="I30" t="s">
        <v>10</v>
      </c>
      <c r="J30" t="s">
        <v>11</v>
      </c>
      <c r="K30" t="s">
        <v>12</v>
      </c>
      <c r="L30" t="s">
        <v>13</v>
      </c>
      <c r="M30" t="s">
        <v>14</v>
      </c>
      <c r="N30" t="s">
        <v>15</v>
      </c>
      <c r="O30" t="s">
        <v>16</v>
      </c>
      <c r="P30" s="1"/>
      <c r="Q30" t="s">
        <v>4</v>
      </c>
      <c r="R30" t="s">
        <v>5</v>
      </c>
      <c r="S30" s="1"/>
    </row>
    <row r="31" spans="1:19" x14ac:dyDescent="0.25">
      <c r="A31">
        <v>512</v>
      </c>
      <c r="B31">
        <v>1</v>
      </c>
      <c r="C31">
        <v>1</v>
      </c>
      <c r="D31" t="s">
        <v>31</v>
      </c>
      <c r="E31">
        <v>0.23025200000000001</v>
      </c>
      <c r="F31">
        <v>0.22365199999999999</v>
      </c>
      <c r="G31">
        <v>0.23100899999999999</v>
      </c>
      <c r="H31">
        <v>0.22851299999999999</v>
      </c>
      <c r="I31">
        <v>0.225635</v>
      </c>
      <c r="J31">
        <v>0.229792</v>
      </c>
      <c r="K31">
        <v>0.23688400000000001</v>
      </c>
      <c r="L31">
        <v>0.22783700000000001</v>
      </c>
      <c r="M31">
        <v>0.233019</v>
      </c>
      <c r="N31">
        <v>0.23214699999999999</v>
      </c>
      <c r="O31">
        <f>AVERAGE(D31:N31)</f>
        <v>0.229874</v>
      </c>
      <c r="P31" s="1"/>
      <c r="Q31">
        <f>(('Mode 0'!O2)/(O31))</f>
        <v>1.0044533092041728</v>
      </c>
      <c r="R31">
        <f>_xlfn.PERCENTOF(Q31,C31)*100</f>
        <v>100.44533092041728</v>
      </c>
      <c r="S31" s="1"/>
    </row>
    <row r="32" spans="1:19" x14ac:dyDescent="0.25">
      <c r="A32">
        <v>1024</v>
      </c>
      <c r="B32">
        <v>1</v>
      </c>
      <c r="C32">
        <v>1</v>
      </c>
      <c r="D32" t="s">
        <v>31</v>
      </c>
      <c r="E32">
        <v>1.8615649999999999</v>
      </c>
      <c r="F32">
        <v>1.8643559999999999</v>
      </c>
      <c r="G32">
        <v>1.857</v>
      </c>
      <c r="H32">
        <v>1.8541970000000001</v>
      </c>
      <c r="I32">
        <v>1.862503</v>
      </c>
      <c r="J32">
        <v>1.873014</v>
      </c>
      <c r="K32">
        <v>1.8627009999999999</v>
      </c>
      <c r="L32">
        <v>1.8572519999999999</v>
      </c>
      <c r="M32">
        <v>1.8652329999999999</v>
      </c>
      <c r="N32">
        <v>1.8597710000000001</v>
      </c>
      <c r="O32">
        <f>AVERAGE(D32:N32)</f>
        <v>1.8617591999999998</v>
      </c>
      <c r="P32" s="1"/>
      <c r="Q32">
        <f>(('Mode 0'!O3)/(O32))</f>
        <v>0.99540192952987705</v>
      </c>
      <c r="R32">
        <f>_xlfn.PERCENTOF(Q32,C32)*100</f>
        <v>99.540192952987709</v>
      </c>
      <c r="S32" s="1"/>
    </row>
    <row r="33" spans="1:19" x14ac:dyDescent="0.25">
      <c r="A33">
        <v>2048</v>
      </c>
      <c r="B33">
        <v>1</v>
      </c>
      <c r="C33">
        <v>1</v>
      </c>
      <c r="D33" t="s">
        <v>31</v>
      </c>
      <c r="E33">
        <v>49.534455999999999</v>
      </c>
      <c r="F33">
        <v>45.252215</v>
      </c>
      <c r="G33">
        <v>48.039264000000003</v>
      </c>
      <c r="H33">
        <v>50.251033999999997</v>
      </c>
      <c r="I33">
        <v>48.605631000000002</v>
      </c>
      <c r="J33">
        <v>49.301245000000002</v>
      </c>
      <c r="K33">
        <v>48.980024</v>
      </c>
      <c r="L33">
        <v>47.440325999999999</v>
      </c>
      <c r="M33">
        <v>47.358162999999998</v>
      </c>
      <c r="N33">
        <v>49.658011999999999</v>
      </c>
      <c r="O33">
        <f>AVERAGE(D33:N33)</f>
        <v>48.442037000000006</v>
      </c>
      <c r="P33" s="1"/>
      <c r="Q33">
        <f>(('Mode 0'!O4)/(O33))</f>
        <v>0.9859051179041044</v>
      </c>
      <c r="R33">
        <f>_xlfn.PERCENTOF(Q33,C33)*100</f>
        <v>98.590511790410446</v>
      </c>
      <c r="S33" s="1"/>
    </row>
    <row r="34" spans="1:19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5">
      <c r="A35">
        <v>512</v>
      </c>
      <c r="B35">
        <v>1</v>
      </c>
      <c r="C35">
        <v>2</v>
      </c>
      <c r="D35" t="s">
        <v>31</v>
      </c>
      <c r="E35">
        <v>0.121625</v>
      </c>
      <c r="F35">
        <v>0.117976</v>
      </c>
      <c r="G35">
        <v>0.11806</v>
      </c>
      <c r="H35">
        <v>0.122214</v>
      </c>
      <c r="I35">
        <v>0.122262</v>
      </c>
      <c r="J35">
        <v>0.124084</v>
      </c>
      <c r="K35">
        <v>0.12040099999999999</v>
      </c>
      <c r="L35">
        <v>0.120994</v>
      </c>
      <c r="M35">
        <v>0.122195</v>
      </c>
      <c r="N35">
        <v>0.12452100000000001</v>
      </c>
      <c r="O35">
        <f>AVERAGE(D35:N35)</f>
        <v>0.12143320000000002</v>
      </c>
      <c r="P35" s="1"/>
      <c r="Q35">
        <f>(('Mode 0'!O2)/(O35))</f>
        <v>1.9014379922459423</v>
      </c>
      <c r="R35">
        <f>_xlfn.PERCENTOF(Q35,C35)*100</f>
        <v>95.071899612297116</v>
      </c>
      <c r="S35" s="1"/>
    </row>
    <row r="36" spans="1:19" x14ac:dyDescent="0.25">
      <c r="A36">
        <v>1024</v>
      </c>
      <c r="B36">
        <v>1</v>
      </c>
      <c r="C36">
        <v>2</v>
      </c>
      <c r="D36" t="s">
        <v>31</v>
      </c>
      <c r="E36">
        <v>1.008623</v>
      </c>
      <c r="F36">
        <v>0.99591399999999997</v>
      </c>
      <c r="G36">
        <v>0.1017927</v>
      </c>
      <c r="H36">
        <v>1.005925</v>
      </c>
      <c r="I36">
        <v>1.0107060000000001</v>
      </c>
      <c r="J36">
        <v>1.0041800000000001</v>
      </c>
      <c r="K36">
        <v>0.99830399999999997</v>
      </c>
      <c r="L36">
        <v>0.102767</v>
      </c>
      <c r="M36">
        <v>1.0025299999999999</v>
      </c>
      <c r="N36">
        <v>1.0103610000000001</v>
      </c>
      <c r="O36">
        <f>AVERAGE(D36:N36)</f>
        <v>0.82411027000000003</v>
      </c>
      <c r="P36" s="1"/>
      <c r="Q36">
        <f>(('Mode 0'!O3)/(O36))</f>
        <v>2.2487266176163536</v>
      </c>
      <c r="R36">
        <f>_xlfn.PERCENTOF(Q36,C36)*100</f>
        <v>112.43633088081768</v>
      </c>
      <c r="S36" s="1"/>
    </row>
    <row r="37" spans="1:19" x14ac:dyDescent="0.25">
      <c r="A37">
        <v>2048</v>
      </c>
      <c r="B37">
        <v>1</v>
      </c>
      <c r="C37">
        <v>2</v>
      </c>
      <c r="D37" t="s">
        <v>31</v>
      </c>
      <c r="E37">
        <v>32.231718000000001</v>
      </c>
      <c r="F37">
        <v>30.654693000000002</v>
      </c>
      <c r="G37">
        <v>29.436700999999999</v>
      </c>
      <c r="H37">
        <v>33.020048000000003</v>
      </c>
      <c r="I37">
        <v>27.563886</v>
      </c>
      <c r="J37">
        <v>28.968951000000001</v>
      </c>
      <c r="K37">
        <v>28.486201000000001</v>
      </c>
      <c r="L37">
        <v>29.300145000000001</v>
      </c>
      <c r="M37">
        <v>30.341571999999999</v>
      </c>
      <c r="N37">
        <v>31.029399999999999</v>
      </c>
      <c r="O37">
        <f>AVERAGE(D37:N37)</f>
        <v>30.103331500000003</v>
      </c>
      <c r="P37" s="1"/>
      <c r="Q37">
        <f>(('Mode 0'!O4)/(O37))</f>
        <v>1.5865105229299949</v>
      </c>
      <c r="R37">
        <f>_xlfn.PERCENTOF(Q37,C37)*100</f>
        <v>79.325526146499755</v>
      </c>
      <c r="S37" s="1"/>
    </row>
    <row r="38" spans="1:19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x14ac:dyDescent="0.25">
      <c r="A39">
        <v>512</v>
      </c>
      <c r="B39">
        <v>1</v>
      </c>
      <c r="C39">
        <v>4</v>
      </c>
      <c r="D39" t="s">
        <v>31</v>
      </c>
      <c r="E39">
        <v>6.9796999999999998E-2</v>
      </c>
      <c r="F39">
        <v>6.4435000000000006E-2</v>
      </c>
      <c r="G39">
        <v>6.7687999999999998E-2</v>
      </c>
      <c r="H39">
        <v>6.6492999999999997E-2</v>
      </c>
      <c r="I39">
        <v>6.7568000000000003E-2</v>
      </c>
      <c r="J39">
        <v>6.8371000000000001E-2</v>
      </c>
      <c r="K39">
        <v>6.2184000000000003E-2</v>
      </c>
      <c r="L39">
        <v>6.4184000000000005E-2</v>
      </c>
      <c r="M39">
        <v>6.4670000000000005E-2</v>
      </c>
      <c r="N39">
        <v>6.6465999999999997E-2</v>
      </c>
      <c r="O39">
        <f>AVERAGE(D39:N39)</f>
        <v>6.6185600000000011E-2</v>
      </c>
      <c r="P39" s="1"/>
      <c r="Q39">
        <f>(('Mode 0'!O2)/(O39))</f>
        <v>3.488639522796499</v>
      </c>
      <c r="R39">
        <f>_xlfn.PERCENTOF(Q39,C39)*100</f>
        <v>87.21598806991247</v>
      </c>
      <c r="S39" s="1"/>
    </row>
    <row r="40" spans="1:19" x14ac:dyDescent="0.25">
      <c r="A40">
        <v>1024</v>
      </c>
      <c r="B40">
        <v>1</v>
      </c>
      <c r="C40">
        <v>4</v>
      </c>
      <c r="D40" t="s">
        <v>31</v>
      </c>
      <c r="E40">
        <v>0.53313299999999997</v>
      </c>
      <c r="F40">
        <v>0.51681100000000002</v>
      </c>
      <c r="G40">
        <v>0.52707099999999996</v>
      </c>
      <c r="H40">
        <v>0.531779</v>
      </c>
      <c r="I40">
        <v>0.506629</v>
      </c>
      <c r="J40">
        <v>0.53298900000000005</v>
      </c>
      <c r="K40">
        <v>0.52192000000000005</v>
      </c>
      <c r="L40">
        <v>0.53142800000000001</v>
      </c>
      <c r="M40">
        <v>0.507826</v>
      </c>
      <c r="N40">
        <v>0.53220199999999995</v>
      </c>
      <c r="O40">
        <f>AVERAGE(D40:N40)</f>
        <v>0.52417879999999994</v>
      </c>
      <c r="P40" s="1"/>
      <c r="Q40">
        <f>(('Mode 0'!O3)/(O40))</f>
        <v>3.5354323753650476</v>
      </c>
      <c r="R40">
        <f>_xlfn.PERCENTOF(Q40,C40)*100</f>
        <v>88.38580938412619</v>
      </c>
      <c r="S40" s="1"/>
    </row>
    <row r="41" spans="1:19" x14ac:dyDescent="0.25">
      <c r="A41">
        <v>2048</v>
      </c>
      <c r="B41">
        <v>1</v>
      </c>
      <c r="C41">
        <v>4</v>
      </c>
      <c r="D41" t="s">
        <v>31</v>
      </c>
      <c r="E41">
        <v>10.65765</v>
      </c>
      <c r="F41">
        <v>10.713829</v>
      </c>
      <c r="G41">
        <v>11.242481</v>
      </c>
      <c r="H41">
        <v>10.894767999999999</v>
      </c>
      <c r="I41">
        <v>11.048832000000001</v>
      </c>
      <c r="J41">
        <v>11.084902</v>
      </c>
      <c r="K41">
        <v>10.844448999999999</v>
      </c>
      <c r="L41">
        <v>10.863697999999999</v>
      </c>
      <c r="M41">
        <v>10.667119</v>
      </c>
      <c r="N41">
        <v>10.527676</v>
      </c>
      <c r="O41">
        <f>AVERAGE(D41:N41)</f>
        <v>10.854540399999999</v>
      </c>
      <c r="P41" s="1"/>
      <c r="Q41">
        <f>(('Mode 0'!O4)/(O41))</f>
        <v>4.3999331560827759</v>
      </c>
      <c r="R41">
        <f>_xlfn.PERCENTOF(Q41,C41)*100</f>
        <v>109.9983289020694</v>
      </c>
      <c r="S41" s="1"/>
    </row>
    <row r="42" spans="1:19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A43">
        <v>512</v>
      </c>
      <c r="B43">
        <v>1</v>
      </c>
      <c r="C43">
        <v>8</v>
      </c>
      <c r="D43" t="s">
        <v>31</v>
      </c>
      <c r="E43">
        <v>3.7044000000000001E-2</v>
      </c>
      <c r="F43">
        <v>3.7227999999999997E-2</v>
      </c>
      <c r="G43">
        <v>3.5102000000000001E-2</v>
      </c>
      <c r="H43">
        <v>3.7005000000000003E-2</v>
      </c>
      <c r="I43">
        <v>3.6970000000000003E-2</v>
      </c>
      <c r="J43">
        <v>3.662E-2</v>
      </c>
      <c r="K43">
        <v>3.7146999999999999E-2</v>
      </c>
      <c r="L43">
        <v>3.8905000000000002E-2</v>
      </c>
      <c r="M43">
        <v>3.6694999999999998E-2</v>
      </c>
      <c r="N43">
        <v>3.6394999999999997E-2</v>
      </c>
      <c r="O43">
        <f>AVERAGE(D43:N43)</f>
        <v>3.6911100000000002E-2</v>
      </c>
      <c r="P43" s="1"/>
      <c r="Q43">
        <f>(('Mode 0'!O2)/(O43))</f>
        <v>6.2555085055714947</v>
      </c>
      <c r="R43">
        <f>_xlfn.PERCENTOF(Q43,C43)*100</f>
        <v>78.193856319643686</v>
      </c>
      <c r="S43" s="1"/>
    </row>
    <row r="44" spans="1:19" x14ac:dyDescent="0.25">
      <c r="A44">
        <v>1024</v>
      </c>
      <c r="B44">
        <v>1</v>
      </c>
      <c r="C44">
        <v>8</v>
      </c>
      <c r="D44" t="s">
        <v>31</v>
      </c>
      <c r="E44">
        <v>0.28000199999999997</v>
      </c>
      <c r="F44">
        <v>0.26772499999999999</v>
      </c>
      <c r="G44">
        <v>0.28140799999999999</v>
      </c>
      <c r="H44">
        <v>0.27932699999999999</v>
      </c>
      <c r="I44">
        <v>0.27824199999999999</v>
      </c>
      <c r="J44">
        <v>0.28831099999999998</v>
      </c>
      <c r="K44">
        <v>0.27021099999999998</v>
      </c>
      <c r="L44">
        <v>0.27984500000000001</v>
      </c>
      <c r="M44">
        <v>0.27266600000000002</v>
      </c>
      <c r="N44">
        <v>0.278748</v>
      </c>
      <c r="O44">
        <f>AVERAGE(D44:N44)</f>
        <v>0.27764850000000002</v>
      </c>
      <c r="P44" s="1"/>
      <c r="Q44">
        <f>(('Mode 0'!O3)/(O44))</f>
        <v>6.67462168893403</v>
      </c>
      <c r="R44">
        <f>_xlfn.PERCENTOF(Q44,C44)*100</f>
        <v>83.432771111675379</v>
      </c>
      <c r="S44" s="1"/>
    </row>
    <row r="45" spans="1:19" x14ac:dyDescent="0.25">
      <c r="A45">
        <v>2048</v>
      </c>
      <c r="B45">
        <v>1</v>
      </c>
      <c r="C45">
        <v>8</v>
      </c>
      <c r="D45" t="s">
        <v>31</v>
      </c>
      <c r="E45">
        <v>5.0594070000000002</v>
      </c>
      <c r="F45">
        <v>5.3375665999999997</v>
      </c>
      <c r="G45">
        <v>6.1894629999999999</v>
      </c>
      <c r="H45">
        <v>5.7329800000000004</v>
      </c>
      <c r="I45">
        <v>5.578665</v>
      </c>
      <c r="J45">
        <v>5.4020159999999997</v>
      </c>
      <c r="K45">
        <v>5.1718029999999997</v>
      </c>
      <c r="L45">
        <v>5.2564820000000001</v>
      </c>
      <c r="M45">
        <v>5.1732199999999997</v>
      </c>
      <c r="N45">
        <v>5.1463599999999996</v>
      </c>
      <c r="O45">
        <f>AVERAGE(D45:N45)</f>
        <v>5.4047962599999995</v>
      </c>
      <c r="P45" s="1"/>
      <c r="Q45">
        <f>(('Mode 0'!O4)/(O45))</f>
        <v>8.8364574541797793</v>
      </c>
      <c r="R45">
        <f>_xlfn.PERCENTOF(Q45,C45)*100</f>
        <v>110.45571817724723</v>
      </c>
      <c r="S45" s="1"/>
    </row>
    <row r="46" spans="1:19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1:19" x14ac:dyDescent="0.25">
      <c r="A47">
        <v>512</v>
      </c>
      <c r="B47">
        <v>1</v>
      </c>
      <c r="C47">
        <v>12</v>
      </c>
      <c r="D47" t="s">
        <v>31</v>
      </c>
      <c r="E47">
        <v>2.8379000000000001E-2</v>
      </c>
      <c r="F47">
        <v>2.7782000000000001E-2</v>
      </c>
      <c r="G47">
        <v>2.7074000000000001E-2</v>
      </c>
      <c r="H47">
        <v>3.0268E-2</v>
      </c>
      <c r="I47">
        <v>2.7045E-2</v>
      </c>
      <c r="J47">
        <v>2.8004999999999999E-2</v>
      </c>
      <c r="K47">
        <v>2.7074999999999998E-2</v>
      </c>
      <c r="L47">
        <v>2.6991000000000001E-2</v>
      </c>
      <c r="M47">
        <v>2.7276999999999999E-2</v>
      </c>
      <c r="N47">
        <v>2.7741999999999999E-2</v>
      </c>
      <c r="O47">
        <f>AVERAGE(D47:N47)</f>
        <v>2.7763799999999998E-2</v>
      </c>
      <c r="P47" s="1"/>
      <c r="Q47">
        <f>(('Mode 0'!O2)/(O47))</f>
        <v>8.3165020638385236</v>
      </c>
      <c r="R47">
        <f>_xlfn.PERCENTOF(Q47,C47)*100</f>
        <v>69.304183865321036</v>
      </c>
      <c r="S47" s="1"/>
    </row>
    <row r="48" spans="1:19" x14ac:dyDescent="0.25">
      <c r="A48">
        <v>1024</v>
      </c>
      <c r="B48">
        <v>1</v>
      </c>
      <c r="C48">
        <v>12</v>
      </c>
      <c r="D48" t="s">
        <v>31</v>
      </c>
      <c r="E48">
        <v>0.24645700000000001</v>
      </c>
      <c r="F48">
        <v>0.25230399999999997</v>
      </c>
      <c r="G48">
        <v>0.240421</v>
      </c>
      <c r="H48">
        <v>0.23902599999999999</v>
      </c>
      <c r="I48">
        <v>0.25043399999999999</v>
      </c>
      <c r="J48">
        <v>0.25141999999999998</v>
      </c>
      <c r="K48">
        <v>0.24049100000000001</v>
      </c>
      <c r="L48">
        <v>0.24207799999999999</v>
      </c>
      <c r="M48">
        <v>0.247747</v>
      </c>
      <c r="N48">
        <v>0.24721599999999999</v>
      </c>
      <c r="O48">
        <f>AVERAGE(D48:N48)</f>
        <v>0.24575939999999999</v>
      </c>
      <c r="P48" s="1"/>
      <c r="Q48">
        <f>(('Mode 0'!O3)/(O48))</f>
        <v>7.5407032243731074</v>
      </c>
      <c r="R48">
        <f>_xlfn.PERCENTOF(Q48,C48)*100</f>
        <v>62.839193536442565</v>
      </c>
      <c r="S48" s="1"/>
    </row>
    <row r="49" spans="1:19" x14ac:dyDescent="0.25">
      <c r="A49">
        <v>2048</v>
      </c>
      <c r="B49">
        <v>1</v>
      </c>
      <c r="C49">
        <v>12</v>
      </c>
      <c r="D49" t="s">
        <v>31</v>
      </c>
      <c r="E49">
        <v>4.6240550000000002</v>
      </c>
      <c r="F49">
        <v>4.8392270000000002</v>
      </c>
      <c r="G49">
        <v>4.5294150000000002</v>
      </c>
      <c r="H49">
        <v>4.5898469999999998</v>
      </c>
      <c r="I49">
        <v>4.7716339999999997</v>
      </c>
      <c r="J49">
        <v>4.9910600000000001</v>
      </c>
      <c r="K49">
        <v>4.5139969999999998</v>
      </c>
      <c r="L49">
        <v>4.5859399999999999</v>
      </c>
      <c r="M49">
        <v>4.6180539999999999</v>
      </c>
      <c r="N49">
        <v>4.5889699999999998</v>
      </c>
      <c r="O49">
        <f>AVERAGE(D49:N49)</f>
        <v>4.6652198999999994</v>
      </c>
      <c r="P49" s="1"/>
      <c r="Q49">
        <f>(('Mode 0'!O4)/(O49))</f>
        <v>10.237299253567874</v>
      </c>
      <c r="R49">
        <f>_xlfn.PERCENTOF(Q49,C49)*100</f>
        <v>85.310827113065628</v>
      </c>
      <c r="S49" s="1"/>
    </row>
    <row r="50" spans="1:19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25">
      <c r="A51">
        <v>512</v>
      </c>
      <c r="B51">
        <v>1</v>
      </c>
      <c r="C51">
        <v>16</v>
      </c>
      <c r="D51" t="s">
        <v>31</v>
      </c>
      <c r="E51">
        <v>2.2551000000000002E-2</v>
      </c>
      <c r="F51">
        <v>2.2280999999999999E-2</v>
      </c>
      <c r="G51">
        <v>2.2654000000000001E-2</v>
      </c>
      <c r="H51">
        <v>2.1239000000000001E-2</v>
      </c>
      <c r="I51">
        <v>2.1635000000000001E-2</v>
      </c>
      <c r="J51">
        <v>2.0955000000000001E-2</v>
      </c>
      <c r="K51">
        <v>2.0848999999999999E-2</v>
      </c>
      <c r="L51">
        <v>2.1930999999999999E-2</v>
      </c>
      <c r="M51">
        <v>2.1607000000000001E-2</v>
      </c>
      <c r="N51">
        <v>2.3281E-2</v>
      </c>
      <c r="O51">
        <f>AVERAGE(D51:N51)</f>
        <v>2.1898300000000002E-2</v>
      </c>
      <c r="P51" s="1"/>
      <c r="Q51">
        <f>(('Mode 0'!O2)/(O51))</f>
        <v>10.54409246379856</v>
      </c>
      <c r="R51">
        <f>_xlfn.PERCENTOF(Q51,C51)*100</f>
        <v>65.900577898740991</v>
      </c>
      <c r="S51" s="1"/>
    </row>
    <row r="52" spans="1:19" x14ac:dyDescent="0.25">
      <c r="A52">
        <v>1024</v>
      </c>
      <c r="B52">
        <v>1</v>
      </c>
      <c r="C52">
        <v>16</v>
      </c>
      <c r="D52" t="s">
        <v>31</v>
      </c>
      <c r="E52">
        <v>0.207541</v>
      </c>
      <c r="F52">
        <v>0.19409999999999999</v>
      </c>
      <c r="G52">
        <v>0.189079</v>
      </c>
      <c r="H52">
        <v>0.19478899999999999</v>
      </c>
      <c r="I52">
        <v>0.19658</v>
      </c>
      <c r="J52">
        <v>0.19723199999999999</v>
      </c>
      <c r="K52">
        <v>0.18621499999999999</v>
      </c>
      <c r="L52">
        <v>0.20569799999999999</v>
      </c>
      <c r="M52">
        <v>0.18152299999999999</v>
      </c>
      <c r="N52">
        <v>0.19273799999999999</v>
      </c>
      <c r="O52">
        <f>AVERAGE(D52:N52)</f>
        <v>0.19454949999999999</v>
      </c>
      <c r="P52" s="1"/>
      <c r="Q52">
        <f>(('Mode 0'!O3)/(O52))</f>
        <v>9.525589631430563</v>
      </c>
      <c r="R52">
        <f>_xlfn.PERCENTOF(Q52,C52)*100</f>
        <v>59.534935196441019</v>
      </c>
      <c r="S52" s="1"/>
    </row>
    <row r="53" spans="1:19" x14ac:dyDescent="0.25">
      <c r="A53">
        <v>2048</v>
      </c>
      <c r="B53">
        <v>1</v>
      </c>
      <c r="C53">
        <v>16</v>
      </c>
      <c r="D53" t="s">
        <v>31</v>
      </c>
      <c r="E53">
        <v>3.5085259999999998</v>
      </c>
      <c r="F53">
        <v>3.6390389999999999</v>
      </c>
      <c r="G53">
        <v>3.84667</v>
      </c>
      <c r="H53">
        <v>3.5215390000000002</v>
      </c>
      <c r="I53">
        <v>3.5084840000000002</v>
      </c>
      <c r="J53">
        <v>3.7460200000000001</v>
      </c>
      <c r="K53">
        <v>3.6366100000000001</v>
      </c>
      <c r="L53">
        <v>3.521817</v>
      </c>
      <c r="M53">
        <v>3.6184780000000001</v>
      </c>
      <c r="N53">
        <v>3.6228099999999999</v>
      </c>
      <c r="O53">
        <f>AVERAGE(D53:N53)</f>
        <v>3.6169993000000007</v>
      </c>
      <c r="P53" s="1"/>
      <c r="Q53">
        <f>(('Mode 0'!O4)/(O53))</f>
        <v>13.204108776023258</v>
      </c>
      <c r="R53">
        <f>_xlfn.PERCENTOF(Q53,C53)*100</f>
        <v>82.525679850145366</v>
      </c>
      <c r="S53" s="1"/>
    </row>
    <row r="54" spans="1:19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25">
      <c r="A55">
        <v>512</v>
      </c>
      <c r="B55">
        <v>1</v>
      </c>
      <c r="C55">
        <v>20</v>
      </c>
      <c r="D55" t="s">
        <v>31</v>
      </c>
      <c r="E55">
        <v>1.8662999999999999E-2</v>
      </c>
      <c r="F55">
        <v>1.7659999999999999E-2</v>
      </c>
      <c r="G55">
        <v>1.7680000000000001E-2</v>
      </c>
      <c r="H55">
        <v>1.7159000000000001E-2</v>
      </c>
      <c r="I55">
        <v>1.7573999999999999E-2</v>
      </c>
      <c r="J55">
        <v>1.7739000000000001E-2</v>
      </c>
      <c r="K55">
        <v>1.7722999999999999E-2</v>
      </c>
      <c r="L55">
        <v>1.8029E-2</v>
      </c>
      <c r="M55">
        <v>1.7461999999999998E-2</v>
      </c>
      <c r="N55">
        <v>1.8508E-2</v>
      </c>
      <c r="O55">
        <f>AVERAGE(D55:N55)</f>
        <v>1.7819700000000001E-2</v>
      </c>
      <c r="P55" s="1"/>
      <c r="Q55">
        <f>(('Mode 0'!O2)/(O55))</f>
        <v>12.957440360948837</v>
      </c>
      <c r="R55">
        <f>_xlfn.PERCENTOF(Q55,C55)*100</f>
        <v>64.787201804744186</v>
      </c>
      <c r="S55" s="1"/>
    </row>
    <row r="56" spans="1:19" x14ac:dyDescent="0.25">
      <c r="A56">
        <v>1024</v>
      </c>
      <c r="B56">
        <v>1</v>
      </c>
      <c r="C56">
        <v>20</v>
      </c>
      <c r="D56" t="s">
        <v>31</v>
      </c>
      <c r="E56">
        <v>0.18323700000000001</v>
      </c>
      <c r="F56">
        <v>0.16986100000000001</v>
      </c>
      <c r="G56">
        <v>0.17141200000000001</v>
      </c>
      <c r="H56">
        <v>0.16441600000000001</v>
      </c>
      <c r="I56">
        <v>0.172289</v>
      </c>
      <c r="J56">
        <v>0.17754500000000001</v>
      </c>
      <c r="K56">
        <v>0.174232</v>
      </c>
      <c r="L56">
        <v>0.16733500000000001</v>
      </c>
      <c r="M56">
        <v>0.175181</v>
      </c>
      <c r="N56">
        <v>0.18226000000000001</v>
      </c>
      <c r="O56">
        <f>AVERAGE(D56:N56)</f>
        <v>0.17377680000000001</v>
      </c>
      <c r="P56" s="1"/>
      <c r="Q56">
        <f>(('Mode 0'!O3)/(O56))</f>
        <v>10.664246896018341</v>
      </c>
      <c r="R56">
        <f>_xlfn.PERCENTOF(Q56,C56)*100</f>
        <v>53.321234480091704</v>
      </c>
      <c r="S56" s="1"/>
    </row>
    <row r="57" spans="1:19" x14ac:dyDescent="0.25">
      <c r="A57">
        <v>2048</v>
      </c>
      <c r="B57">
        <v>1</v>
      </c>
      <c r="C57">
        <v>20</v>
      </c>
      <c r="D57" t="s">
        <v>31</v>
      </c>
      <c r="E57">
        <v>3.2188750000000002</v>
      </c>
      <c r="F57">
        <v>3.451616</v>
      </c>
      <c r="G57">
        <v>3.4491070000000001</v>
      </c>
      <c r="H57">
        <v>3.6130100000000001</v>
      </c>
      <c r="I57">
        <v>3.2839580000000002</v>
      </c>
      <c r="J57">
        <v>3.260259</v>
      </c>
      <c r="K57">
        <v>3.4923760000000001</v>
      </c>
      <c r="L57">
        <v>3.5003250000000001</v>
      </c>
      <c r="M57">
        <v>3.8047849999999999</v>
      </c>
      <c r="N57">
        <v>4.0925479999999999</v>
      </c>
      <c r="O57">
        <f>AVERAGE(D57:N57)</f>
        <v>3.5166858999999997</v>
      </c>
      <c r="P57" s="1"/>
      <c r="Q57">
        <f>(('Mode 0'!O4)/(O57))</f>
        <v>13.580755733686649</v>
      </c>
      <c r="R57">
        <f>_xlfn.PERCENTOF(Q57,C57)*100</f>
        <v>67.903778668433247</v>
      </c>
      <c r="S57" s="1"/>
    </row>
    <row r="58" spans="1:19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3B26E-89B5-4FC9-B977-14BCAB444AE6}">
  <dimension ref="A1:S29"/>
  <sheetViews>
    <sheetView topLeftCell="E1" zoomScaleNormal="100" workbookViewId="0">
      <selection activeCell="R26" sqref="R26"/>
    </sheetView>
  </sheetViews>
  <sheetFormatPr defaultRowHeight="15" x14ac:dyDescent="0.25"/>
  <cols>
    <col min="15" max="15" width="13.140625" customWidth="1"/>
    <col min="18" max="18" width="12.42578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/>
      <c r="Q1" t="s">
        <v>4</v>
      </c>
      <c r="R1" t="s">
        <v>32</v>
      </c>
      <c r="S1" s="1"/>
    </row>
    <row r="2" spans="1:19" x14ac:dyDescent="0.25">
      <c r="A2">
        <v>512</v>
      </c>
      <c r="B2">
        <v>2</v>
      </c>
      <c r="C2">
        <v>1</v>
      </c>
      <c r="E2">
        <v>0.228163</v>
      </c>
      <c r="F2">
        <v>0.21995999999999999</v>
      </c>
      <c r="G2">
        <v>0.225937</v>
      </c>
      <c r="H2">
        <v>0.23378399999999999</v>
      </c>
      <c r="I2">
        <v>0.229217</v>
      </c>
      <c r="J2">
        <v>0.22725100000000001</v>
      </c>
      <c r="K2">
        <v>0.230125</v>
      </c>
      <c r="L2">
        <v>0.227072</v>
      </c>
      <c r="M2">
        <v>0.229992</v>
      </c>
      <c r="N2">
        <v>0.227795</v>
      </c>
      <c r="O2">
        <f>AVERAGE(D2:N2)</f>
        <v>0.22792960000000001</v>
      </c>
      <c r="P2" s="1"/>
      <c r="Q2">
        <f>(('Mode 0'!O2)/(O2))</f>
        <v>1.0130220032852248</v>
      </c>
      <c r="R2">
        <f>Q2/C2*100</f>
        <v>101.30220032852249</v>
      </c>
      <c r="S2" s="1"/>
    </row>
    <row r="3" spans="1:19" x14ac:dyDescent="0.25">
      <c r="A3">
        <v>1024</v>
      </c>
      <c r="B3">
        <v>2</v>
      </c>
      <c r="C3">
        <v>1</v>
      </c>
      <c r="E3">
        <v>1.870144</v>
      </c>
      <c r="F3">
        <v>1.8536980000000001</v>
      </c>
      <c r="G3">
        <v>1.8569279999999999</v>
      </c>
      <c r="H3">
        <v>1.8754409999999999</v>
      </c>
      <c r="I3">
        <v>1.874735</v>
      </c>
      <c r="J3">
        <v>1.8629720000000001</v>
      </c>
      <c r="K3">
        <v>1.86439</v>
      </c>
      <c r="L3">
        <v>1.8738950000000001</v>
      </c>
      <c r="M3">
        <v>1.857963</v>
      </c>
      <c r="N3">
        <v>1.866163</v>
      </c>
      <c r="O3">
        <f>AVERAGE(D3:N3)</f>
        <v>1.8656329000000003</v>
      </c>
      <c r="P3" s="1"/>
      <c r="Q3">
        <f>(('Mode 0'!O3)/(O3))</f>
        <v>0.99333513039998378</v>
      </c>
      <c r="R3">
        <f t="shared" ref="R3:R4" si="0">Q3/C3*100</f>
        <v>99.33351303999838</v>
      </c>
      <c r="S3" s="1"/>
    </row>
    <row r="4" spans="1:19" x14ac:dyDescent="0.25">
      <c r="A4">
        <v>2048</v>
      </c>
      <c r="B4">
        <v>2</v>
      </c>
      <c r="C4">
        <v>1</v>
      </c>
      <c r="E4">
        <v>45.508709000000003</v>
      </c>
      <c r="F4">
        <v>49.957098000000002</v>
      </c>
      <c r="G4">
        <v>50.442109000000002</v>
      </c>
      <c r="H4">
        <v>52.096716000000001</v>
      </c>
      <c r="I4">
        <v>47.252015999999998</v>
      </c>
      <c r="J4">
        <v>47.875163999999998</v>
      </c>
      <c r="K4">
        <v>47.879255999999998</v>
      </c>
      <c r="L4">
        <v>48.170202000000003</v>
      </c>
      <c r="M4">
        <v>46.945017999999997</v>
      </c>
      <c r="N4">
        <v>50.965457999999998</v>
      </c>
      <c r="O4">
        <f>AVERAGE(D4:N4)</f>
        <v>48.709174600000004</v>
      </c>
      <c r="P4" s="1"/>
      <c r="Q4">
        <f>(('Mode 0'!O4)/(O4))</f>
        <v>0.98049808054025178</v>
      </c>
      <c r="R4">
        <f t="shared" si="0"/>
        <v>98.049808054025178</v>
      </c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>
        <v>512</v>
      </c>
      <c r="B6">
        <v>2</v>
      </c>
      <c r="C6">
        <v>2</v>
      </c>
      <c r="E6">
        <v>0.12684699999999999</v>
      </c>
      <c r="F6">
        <v>0.120842</v>
      </c>
      <c r="G6">
        <v>0.11904099999999999</v>
      </c>
      <c r="H6">
        <v>0.11831700000000001</v>
      </c>
      <c r="I6">
        <v>0.123407</v>
      </c>
      <c r="J6">
        <v>0.121952</v>
      </c>
      <c r="K6">
        <v>0.117616</v>
      </c>
      <c r="L6">
        <v>0.11984499999999999</v>
      </c>
      <c r="M6">
        <v>0.119265</v>
      </c>
      <c r="N6">
        <v>0.11734</v>
      </c>
      <c r="O6">
        <f>AVERAGE(D6:N6)</f>
        <v>0.1204472</v>
      </c>
      <c r="P6" s="1"/>
      <c r="Q6">
        <f>(('Mode 0'!O2)/(O6))</f>
        <v>1.917003467079351</v>
      </c>
      <c r="R6">
        <f t="shared" ref="R6:R8" si="1">Q6/C6*100</f>
        <v>95.850173353967548</v>
      </c>
      <c r="S6" s="1"/>
    </row>
    <row r="7" spans="1:19" x14ac:dyDescent="0.25">
      <c r="A7">
        <v>1024</v>
      </c>
      <c r="B7">
        <v>2</v>
      </c>
      <c r="C7">
        <v>2</v>
      </c>
      <c r="E7">
        <v>1.0089859999999999</v>
      </c>
      <c r="F7">
        <v>1.0150999999999999</v>
      </c>
      <c r="G7">
        <v>1.0067060000000001</v>
      </c>
      <c r="H7">
        <v>0.99654200000000004</v>
      </c>
      <c r="I7">
        <v>1.013782</v>
      </c>
      <c r="J7">
        <v>0.97140300000000002</v>
      </c>
      <c r="K7">
        <v>0.99307000000000001</v>
      </c>
      <c r="L7">
        <v>1.0131159999999999</v>
      </c>
      <c r="M7">
        <v>1.0267500000000001</v>
      </c>
      <c r="N7">
        <v>1.0066459999999999</v>
      </c>
      <c r="O7">
        <f>AVERAGE(D7:N7)</f>
        <v>1.0052100999999998</v>
      </c>
      <c r="P7" s="1"/>
      <c r="Q7">
        <f>(('Mode 0'!O3)/(O7))</f>
        <v>1.8435933940576208</v>
      </c>
      <c r="R7">
        <f t="shared" si="1"/>
        <v>92.179669702881043</v>
      </c>
      <c r="S7" s="1"/>
    </row>
    <row r="8" spans="1:19" x14ac:dyDescent="0.25">
      <c r="A8">
        <v>2048</v>
      </c>
      <c r="B8">
        <v>2</v>
      </c>
      <c r="C8">
        <v>2</v>
      </c>
      <c r="E8">
        <v>27.00806</v>
      </c>
      <c r="F8">
        <v>28.892085999999999</v>
      </c>
      <c r="G8">
        <v>28.999748</v>
      </c>
      <c r="H8">
        <v>29.577100999999999</v>
      </c>
      <c r="I8">
        <v>27.544127</v>
      </c>
      <c r="J8">
        <v>26.809076999999998</v>
      </c>
      <c r="K8">
        <v>27.667162000000001</v>
      </c>
      <c r="L8">
        <v>28.204802999999998</v>
      </c>
      <c r="M8">
        <v>28.780884</v>
      </c>
      <c r="N8">
        <v>27.980505999999998</v>
      </c>
      <c r="O8">
        <f>AVERAGE(D8:N8)</f>
        <v>28.146355399999997</v>
      </c>
      <c r="P8" s="1"/>
      <c r="Q8">
        <f>(('Mode 0'!O4)/(O8))</f>
        <v>1.6968183454402055</v>
      </c>
      <c r="R8">
        <f t="shared" si="1"/>
        <v>84.840917272010273</v>
      </c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>
        <v>512</v>
      </c>
      <c r="B10">
        <v>2</v>
      </c>
      <c r="C10">
        <v>4</v>
      </c>
      <c r="E10">
        <v>6.8655999999999995E-2</v>
      </c>
      <c r="F10">
        <v>6.6456000000000001E-2</v>
      </c>
      <c r="G10">
        <v>6.3797999999999994E-2</v>
      </c>
      <c r="H10">
        <v>6.6609000000000002E-2</v>
      </c>
      <c r="I10">
        <v>6.7515000000000006E-2</v>
      </c>
      <c r="J10">
        <v>6.8110000000000004E-2</v>
      </c>
      <c r="K10">
        <v>6.7410999999999999E-2</v>
      </c>
      <c r="L10">
        <v>6.5294000000000005E-2</v>
      </c>
      <c r="M10">
        <v>6.3454999999999998E-2</v>
      </c>
      <c r="N10">
        <v>6.8628999999999996E-2</v>
      </c>
      <c r="O10">
        <f>AVERAGE(D10:N10)</f>
        <v>6.6593300000000008E-2</v>
      </c>
      <c r="P10" s="1"/>
      <c r="Q10">
        <f>(('Mode 0'!O2)/(O10))</f>
        <v>3.4672812430079301</v>
      </c>
      <c r="R10">
        <f t="shared" ref="R10:R12" si="2">Q10/C10*100</f>
        <v>86.682031075198253</v>
      </c>
      <c r="S10" s="1"/>
    </row>
    <row r="11" spans="1:19" x14ac:dyDescent="0.25">
      <c r="A11">
        <v>1024</v>
      </c>
      <c r="B11">
        <v>2</v>
      </c>
      <c r="C11">
        <v>4</v>
      </c>
      <c r="E11">
        <v>0.535076</v>
      </c>
      <c r="F11">
        <v>0.52757100000000001</v>
      </c>
      <c r="G11">
        <v>0.51236700000000002</v>
      </c>
      <c r="H11">
        <v>0.53151599999999999</v>
      </c>
      <c r="I11">
        <v>0.50636300000000001</v>
      </c>
      <c r="J11">
        <v>0.52251400000000003</v>
      </c>
      <c r="K11">
        <v>0.52635500000000002</v>
      </c>
      <c r="L11">
        <v>0.52614899999999998</v>
      </c>
      <c r="M11">
        <v>0.51631800000000005</v>
      </c>
      <c r="N11">
        <v>0.50948000000000004</v>
      </c>
      <c r="O11">
        <f>AVERAGE(D11:N11)</f>
        <v>0.52137090000000008</v>
      </c>
      <c r="P11" s="1"/>
      <c r="Q11">
        <f>(('Mode 0'!O3)/(O11))</f>
        <v>3.5544728330637554</v>
      </c>
      <c r="R11">
        <f t="shared" si="2"/>
        <v>88.861820826593885</v>
      </c>
      <c r="S11" s="1"/>
    </row>
    <row r="12" spans="1:19" x14ac:dyDescent="0.25">
      <c r="A12">
        <v>2048</v>
      </c>
      <c r="B12">
        <v>2</v>
      </c>
      <c r="C12">
        <v>4</v>
      </c>
      <c r="E12">
        <v>12.44064</v>
      </c>
      <c r="F12">
        <v>11.409314</v>
      </c>
      <c r="G12">
        <v>10.962714</v>
      </c>
      <c r="H12">
        <v>10.916687</v>
      </c>
      <c r="I12">
        <v>11.169786</v>
      </c>
      <c r="J12">
        <v>10.724378</v>
      </c>
      <c r="K12">
        <v>11.397408</v>
      </c>
      <c r="L12">
        <v>11.071325</v>
      </c>
      <c r="M12">
        <v>10.649613</v>
      </c>
      <c r="N12">
        <v>10.819449000000001</v>
      </c>
      <c r="O12">
        <f>AVERAGE(D12:N12)</f>
        <v>11.156131400000001</v>
      </c>
      <c r="P12" s="1"/>
      <c r="Q12">
        <f>(('Mode 0'!O4)/(O12))</f>
        <v>4.2809868840375964</v>
      </c>
      <c r="R12">
        <f t="shared" si="2"/>
        <v>107.02467210093991</v>
      </c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>
        <v>512</v>
      </c>
      <c r="B14">
        <v>2</v>
      </c>
      <c r="C14">
        <v>8</v>
      </c>
      <c r="E14">
        <v>3.5362999999999999E-2</v>
      </c>
      <c r="F14">
        <v>3.916E-2</v>
      </c>
      <c r="G14">
        <v>4.5185999999999997E-2</v>
      </c>
      <c r="H14">
        <v>3.9609999999999999E-2</v>
      </c>
      <c r="I14">
        <v>3.5465000000000003E-2</v>
      </c>
      <c r="J14">
        <v>3.6524000000000001E-2</v>
      </c>
      <c r="K14">
        <v>5.0694000000000003E-2</v>
      </c>
      <c r="L14">
        <v>3.4436000000000001E-2</v>
      </c>
      <c r="M14">
        <v>4.6288000000000003E-2</v>
      </c>
      <c r="N14">
        <v>4.7779000000000002E-2</v>
      </c>
      <c r="O14">
        <f>AVERAGE(D14:N14)</f>
        <v>4.1050500000000004E-2</v>
      </c>
      <c r="P14" s="1"/>
      <c r="Q14">
        <f>(('Mode 0'!O2)/(O14))</f>
        <v>5.6247232067818906</v>
      </c>
      <c r="R14">
        <f t="shared" ref="R14:R16" si="3">Q14/C14*100</f>
        <v>70.309040084773628</v>
      </c>
      <c r="S14" s="1"/>
    </row>
    <row r="15" spans="1:19" x14ac:dyDescent="0.25">
      <c r="A15">
        <v>1024</v>
      </c>
      <c r="B15">
        <v>2</v>
      </c>
      <c r="C15">
        <v>8</v>
      </c>
      <c r="E15">
        <v>0.27827400000000002</v>
      </c>
      <c r="F15">
        <v>0.30587399999999998</v>
      </c>
      <c r="G15">
        <v>0.27924399999999999</v>
      </c>
      <c r="H15">
        <v>0.30829600000000001</v>
      </c>
      <c r="I15">
        <v>0.28769699999999998</v>
      </c>
      <c r="J15">
        <v>0.28422900000000001</v>
      </c>
      <c r="K15">
        <v>0.28287000000000001</v>
      </c>
      <c r="L15">
        <v>0.27931800000000001</v>
      </c>
      <c r="M15">
        <v>0.28297800000000001</v>
      </c>
      <c r="N15">
        <v>0.289775</v>
      </c>
      <c r="O15">
        <f>AVERAGE(D15:N15)</f>
        <v>0.28785550000000004</v>
      </c>
      <c r="P15" s="1"/>
      <c r="Q15">
        <f>(('Mode 0'!O3)/(O15))</f>
        <v>6.4379478592557717</v>
      </c>
      <c r="R15">
        <f t="shared" si="3"/>
        <v>80.47434824069714</v>
      </c>
      <c r="S15" s="1"/>
    </row>
    <row r="16" spans="1:19" x14ac:dyDescent="0.25">
      <c r="A16">
        <v>2048</v>
      </c>
      <c r="B16">
        <v>2</v>
      </c>
      <c r="C16">
        <v>8</v>
      </c>
      <c r="E16">
        <v>5.2644549999999999</v>
      </c>
      <c r="F16">
        <v>5.5087650000000004</v>
      </c>
      <c r="G16">
        <v>5.8445119999999999</v>
      </c>
      <c r="H16">
        <v>5.3001009999999997</v>
      </c>
      <c r="I16">
        <v>5.3768279999999997</v>
      </c>
      <c r="J16">
        <v>5.2612509999999997</v>
      </c>
      <c r="K16">
        <v>5.9364920000000003</v>
      </c>
      <c r="L16">
        <v>5.1008950000000004</v>
      </c>
      <c r="M16">
        <v>5.4896560000000001</v>
      </c>
      <c r="N16">
        <v>5.498659</v>
      </c>
      <c r="O16">
        <f>AVERAGE(D16:N16)</f>
        <v>5.4581613999999998</v>
      </c>
      <c r="P16" s="1"/>
      <c r="Q16">
        <f>(('Mode 0'!O4)/(O16))</f>
        <v>8.7500622828778916</v>
      </c>
      <c r="R16">
        <f t="shared" si="3"/>
        <v>109.37577853597364</v>
      </c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>
        <v>512</v>
      </c>
      <c r="B18">
        <v>2</v>
      </c>
      <c r="C18">
        <v>12</v>
      </c>
      <c r="E18">
        <v>3.0453999999999998E-2</v>
      </c>
      <c r="F18">
        <v>3.4435E-2</v>
      </c>
      <c r="G18">
        <v>2.9853000000000001E-2</v>
      </c>
      <c r="H18">
        <v>3.0477000000000001E-2</v>
      </c>
      <c r="I18">
        <v>3.5483000000000001E-2</v>
      </c>
      <c r="J18">
        <v>3.0915999999999999E-2</v>
      </c>
      <c r="K18">
        <v>2.7289999999999998E-2</v>
      </c>
      <c r="L18">
        <v>3.3964000000000001E-2</v>
      </c>
      <c r="M18">
        <v>3.2278000000000001E-2</v>
      </c>
      <c r="N18">
        <v>3.1266000000000002E-2</v>
      </c>
      <c r="O18">
        <f>AVERAGE(D18:N18)</f>
        <v>3.1641600000000006E-2</v>
      </c>
      <c r="P18" s="1"/>
      <c r="Q18">
        <f>(('Mode 0'!O2)/(O18))</f>
        <v>7.2972826911407758</v>
      </c>
      <c r="R18">
        <f t="shared" ref="R18:R20" si="4">Q18/C18*100</f>
        <v>60.810689092839795</v>
      </c>
      <c r="S18" s="1"/>
    </row>
    <row r="19" spans="1:19" x14ac:dyDescent="0.25">
      <c r="A19">
        <v>1024</v>
      </c>
      <c r="B19">
        <v>2</v>
      </c>
      <c r="C19">
        <v>12</v>
      </c>
      <c r="E19">
        <v>0.30120999999999998</v>
      </c>
      <c r="F19">
        <v>0.31007899999999999</v>
      </c>
      <c r="G19">
        <v>0.30052200000000001</v>
      </c>
      <c r="H19">
        <v>0.30557400000000001</v>
      </c>
      <c r="I19">
        <v>0.29763899999999999</v>
      </c>
      <c r="J19">
        <v>0.308672</v>
      </c>
      <c r="K19">
        <v>0.30324099999999998</v>
      </c>
      <c r="L19">
        <v>0.30623899999999998</v>
      </c>
      <c r="M19">
        <v>0.31536999999999998</v>
      </c>
      <c r="N19">
        <v>0.31256299999999998</v>
      </c>
      <c r="O19">
        <f>AVERAGE(D19:N19)</f>
        <v>0.30611090000000002</v>
      </c>
      <c r="P19" s="1"/>
      <c r="Q19">
        <f>(('Mode 0'!O3)/(O19))</f>
        <v>6.0540108176481136</v>
      </c>
      <c r="R19">
        <f t="shared" si="4"/>
        <v>50.45009014706762</v>
      </c>
      <c r="S19" s="1"/>
    </row>
    <row r="20" spans="1:19" x14ac:dyDescent="0.25">
      <c r="A20">
        <v>2048</v>
      </c>
      <c r="B20">
        <v>2</v>
      </c>
      <c r="C20">
        <v>12</v>
      </c>
      <c r="E20">
        <v>5.3686360000000004</v>
      </c>
      <c r="F20">
        <v>5.3730169999999999</v>
      </c>
      <c r="G20">
        <v>5.341513</v>
      </c>
      <c r="H20">
        <v>5.1836159999999998</v>
      </c>
      <c r="I20">
        <v>5.4456740000000003</v>
      </c>
      <c r="J20">
        <v>5.468871</v>
      </c>
      <c r="K20">
        <v>5.205559</v>
      </c>
      <c r="L20">
        <v>5.4371</v>
      </c>
      <c r="M20">
        <v>5.4830860000000001</v>
      </c>
      <c r="N20">
        <v>5.1020899999999996</v>
      </c>
      <c r="O20">
        <f>AVERAGE(D20:N20)</f>
        <v>5.3409161999999997</v>
      </c>
      <c r="P20" s="1"/>
      <c r="Q20">
        <f>(('Mode 0'!O4)/(O20))</f>
        <v>8.9421459561563612</v>
      </c>
      <c r="R20">
        <f t="shared" si="4"/>
        <v>74.517882967969669</v>
      </c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>
        <v>512</v>
      </c>
      <c r="B22">
        <v>2</v>
      </c>
      <c r="C22">
        <v>16</v>
      </c>
      <c r="E22">
        <v>2.0579E-2</v>
      </c>
      <c r="F22">
        <v>2.0934999999999999E-2</v>
      </c>
      <c r="G22">
        <v>2.1028999999999999E-2</v>
      </c>
      <c r="H22">
        <v>2.6485000000000002E-2</v>
      </c>
      <c r="I22">
        <v>2.1742999999999998E-2</v>
      </c>
      <c r="J22">
        <v>2.3709999999999998E-2</v>
      </c>
      <c r="K22">
        <v>2.1062000000000001E-2</v>
      </c>
      <c r="L22">
        <v>2.3585999999999999E-2</v>
      </c>
      <c r="M22">
        <v>2.6969E-2</v>
      </c>
      <c r="N22">
        <v>2.3989E-2</v>
      </c>
      <c r="O22">
        <f>AVERAGE(D22:N22)</f>
        <v>2.30087E-2</v>
      </c>
      <c r="P22" s="1"/>
      <c r="Q22">
        <f>(('Mode 0'!O2)/(O22))</f>
        <v>10.035234498255008</v>
      </c>
      <c r="R22">
        <f t="shared" ref="R22:R24" si="5">Q22/C22*100</f>
        <v>62.720215614093803</v>
      </c>
      <c r="S22" s="1"/>
    </row>
    <row r="23" spans="1:19" x14ac:dyDescent="0.25">
      <c r="A23">
        <v>1024</v>
      </c>
      <c r="B23">
        <v>2</v>
      </c>
      <c r="C23">
        <v>16</v>
      </c>
      <c r="E23">
        <v>0.24344199999999999</v>
      </c>
      <c r="F23">
        <v>0.25983699999999998</v>
      </c>
      <c r="G23">
        <v>0.25321700000000003</v>
      </c>
      <c r="H23">
        <v>0.25196600000000002</v>
      </c>
      <c r="I23">
        <v>0.25174999999999997</v>
      </c>
      <c r="J23">
        <v>0.26624999999999999</v>
      </c>
      <c r="K23">
        <v>0.260189</v>
      </c>
      <c r="L23">
        <v>0.26708100000000001</v>
      </c>
      <c r="M23">
        <v>0.252558</v>
      </c>
      <c r="N23">
        <v>0.265177</v>
      </c>
      <c r="O23">
        <f>AVERAGE(D23:N23)</f>
        <v>0.25714670000000001</v>
      </c>
      <c r="P23" s="1"/>
      <c r="Q23">
        <f>(('Mode 0'!O3)/(O23))</f>
        <v>7.2067761320678043</v>
      </c>
      <c r="R23">
        <f t="shared" si="5"/>
        <v>45.042350825423775</v>
      </c>
      <c r="S23" s="1"/>
    </row>
    <row r="24" spans="1:19" x14ac:dyDescent="0.25">
      <c r="A24">
        <v>2048</v>
      </c>
      <c r="B24">
        <v>2</v>
      </c>
      <c r="C24">
        <v>16</v>
      </c>
      <c r="E24">
        <v>4.3771890000000004</v>
      </c>
      <c r="F24">
        <v>4.5717850000000002</v>
      </c>
      <c r="G24">
        <v>4.1610820000000004</v>
      </c>
      <c r="H24">
        <v>4.1458529999999998</v>
      </c>
      <c r="I24">
        <v>4.086328</v>
      </c>
      <c r="J24">
        <v>4.3388900000000001</v>
      </c>
      <c r="K24">
        <v>4.0687829999999998</v>
      </c>
      <c r="L24">
        <v>4.3139890000000003</v>
      </c>
      <c r="M24">
        <v>4.321116</v>
      </c>
      <c r="N24">
        <v>4.4841329999999999</v>
      </c>
      <c r="O24">
        <f>AVERAGE(D24:N24)</f>
        <v>4.2869147999999999</v>
      </c>
      <c r="P24" s="1"/>
      <c r="Q24">
        <f>(('Mode 0'!O4)/(O24))</f>
        <v>11.140704779110607</v>
      </c>
      <c r="R24">
        <f t="shared" si="5"/>
        <v>69.629404869441288</v>
      </c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>
        <v>512</v>
      </c>
      <c r="B26">
        <v>2</v>
      </c>
      <c r="C26">
        <v>20</v>
      </c>
      <c r="E26">
        <v>1.8225999999999999E-2</v>
      </c>
      <c r="F26">
        <v>1.9372E-2</v>
      </c>
      <c r="G26">
        <v>1.7926000000000001E-2</v>
      </c>
      <c r="H26">
        <v>2.7E-2</v>
      </c>
      <c r="I26">
        <v>1.9560000000000001E-2</v>
      </c>
      <c r="J26">
        <v>1.9625E-2</v>
      </c>
      <c r="K26">
        <v>1.7644E-2</v>
      </c>
      <c r="L26">
        <v>1.8976E-2</v>
      </c>
      <c r="M26">
        <v>1.9210000000000001E-2</v>
      </c>
      <c r="N26">
        <v>1.8485000000000001E-2</v>
      </c>
      <c r="O26">
        <f>AVERAGE(D26:N26)</f>
        <v>1.9602399999999999E-2</v>
      </c>
      <c r="P26" s="1"/>
      <c r="Q26">
        <f>(('Mode 0'!O2)/(O26))</f>
        <v>11.779052564992043</v>
      </c>
      <c r="R26">
        <f t="shared" ref="R26:R28" si="6">Q26/C26*100</f>
        <v>58.895262824960213</v>
      </c>
      <c r="S26" s="1"/>
    </row>
    <row r="27" spans="1:19" x14ac:dyDescent="0.25">
      <c r="A27">
        <v>1024</v>
      </c>
      <c r="B27">
        <v>2</v>
      </c>
      <c r="C27">
        <v>20</v>
      </c>
      <c r="E27">
        <v>0.24432899999999999</v>
      </c>
      <c r="F27">
        <v>0.252946</v>
      </c>
      <c r="G27">
        <v>0.24268200000000001</v>
      </c>
      <c r="H27">
        <v>0.25442700000000001</v>
      </c>
      <c r="I27">
        <v>0.23763100000000001</v>
      </c>
      <c r="J27">
        <v>0.238876</v>
      </c>
      <c r="K27">
        <v>0.25059799999999999</v>
      </c>
      <c r="L27">
        <v>0.23655499999999999</v>
      </c>
      <c r="M27">
        <v>0.26705099999999998</v>
      </c>
      <c r="N27">
        <v>0.25172899999999998</v>
      </c>
      <c r="O27">
        <f>AVERAGE(D27:N27)</f>
        <v>0.24768240000000002</v>
      </c>
      <c r="P27" s="1"/>
      <c r="Q27">
        <f>(('Mode 0'!O3)/(O27))</f>
        <v>7.4821573918857371</v>
      </c>
      <c r="R27">
        <f t="shared" si="6"/>
        <v>37.410786959428691</v>
      </c>
      <c r="S27" s="1"/>
    </row>
    <row r="28" spans="1:19" x14ac:dyDescent="0.25">
      <c r="A28">
        <v>2048</v>
      </c>
      <c r="B28">
        <v>2</v>
      </c>
      <c r="C28">
        <v>20</v>
      </c>
      <c r="E28">
        <v>3.9649420000000002</v>
      </c>
      <c r="F28">
        <v>3.9009040000000001</v>
      </c>
      <c r="G28">
        <v>4.2681509999999996</v>
      </c>
      <c r="H28">
        <v>4.1200369999999999</v>
      </c>
      <c r="I28">
        <v>4.0619189999999996</v>
      </c>
      <c r="J28">
        <v>3.8856250000000001</v>
      </c>
      <c r="K28">
        <v>3.8505069999999999</v>
      </c>
      <c r="L28">
        <v>4.1927729999999999</v>
      </c>
      <c r="M28">
        <v>4.0519619999999996</v>
      </c>
      <c r="N28">
        <v>4.2928810000000004</v>
      </c>
      <c r="O28">
        <f>AVERAGE(D28:N28)</f>
        <v>4.0589700999999998</v>
      </c>
      <c r="P28" s="1"/>
      <c r="Q28">
        <f>(('Mode 0'!O4)/(O28))</f>
        <v>11.766347379597596</v>
      </c>
      <c r="R28">
        <f t="shared" si="6"/>
        <v>58.831736897987973</v>
      </c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08209-636A-4681-93EF-EE021D67F84D}">
  <dimension ref="A1:Y29"/>
  <sheetViews>
    <sheetView topLeftCell="M1" workbookViewId="0">
      <selection activeCell="S29" sqref="S29"/>
    </sheetView>
  </sheetViews>
  <sheetFormatPr defaultRowHeight="15" x14ac:dyDescent="0.25"/>
  <cols>
    <col min="5" max="5" width="14.140625" customWidth="1"/>
    <col min="6" max="6" width="14.7109375" customWidth="1"/>
    <col min="7" max="7" width="14.5703125" customWidth="1"/>
    <col min="8" max="8" width="15" customWidth="1"/>
    <col min="9" max="9" width="15.140625" customWidth="1"/>
    <col min="10" max="10" width="14.28515625" customWidth="1"/>
    <col min="11" max="11" width="15.28515625" customWidth="1"/>
    <col min="12" max="12" width="14.7109375" customWidth="1"/>
    <col min="13" max="13" width="14.5703125" customWidth="1"/>
    <col min="14" max="14" width="15" customWidth="1"/>
    <col min="15" max="15" width="22.140625" customWidth="1"/>
    <col min="16" max="16" width="20.42578125" customWidth="1"/>
    <col min="17" max="17" width="19.42578125" customWidth="1"/>
    <col min="19" max="19" width="15.85546875" customWidth="1"/>
    <col min="20" max="20" width="16.85546875" customWidth="1"/>
    <col min="21" max="21" width="15.85546875" customWidth="1"/>
    <col min="22" max="22" width="20.85546875" customWidth="1"/>
    <col min="23" max="23" width="19.7109375" customWidth="1"/>
    <col min="24" max="24" width="21.425781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s="1"/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s="1"/>
    </row>
    <row r="2" spans="1:25" x14ac:dyDescent="0.25">
      <c r="A2">
        <v>512</v>
      </c>
      <c r="B2">
        <v>3</v>
      </c>
      <c r="C2">
        <v>1</v>
      </c>
      <c r="E2">
        <v>0.23573</v>
      </c>
      <c r="F2">
        <v>0.23743600000000001</v>
      </c>
      <c r="G2">
        <v>0.22759699999999999</v>
      </c>
      <c r="H2">
        <v>0.22931599999999999</v>
      </c>
      <c r="I2">
        <v>0.235378</v>
      </c>
      <c r="J2">
        <v>0.23708499999999999</v>
      </c>
      <c r="K2">
        <v>0.240901</v>
      </c>
      <c r="L2">
        <v>0.242615</v>
      </c>
      <c r="M2">
        <v>0.23693700000000001</v>
      </c>
      <c r="N2">
        <v>0.238646</v>
      </c>
      <c r="O2">
        <f t="shared" ref="O2:P4" si="0">AVERAGE(E2,G2,I2,K2,M2)</f>
        <v>0.23530860000000003</v>
      </c>
      <c r="P2">
        <f t="shared" si="0"/>
        <v>0.2370196</v>
      </c>
      <c r="Q2">
        <f>AVERAGE(O2:P2)</f>
        <v>0.23616410000000002</v>
      </c>
      <c r="R2" s="1"/>
      <c r="S2">
        <f>(('Mode 0'!O2)/(O2))</f>
        <v>0.98125482876528936</v>
      </c>
      <c r="T2">
        <f>(('Mode 0'!$O$2)/(P2))</f>
        <v>0.97417133435378345</v>
      </c>
      <c r="U2">
        <f>(('Mode 0'!$O$2)/(Q2))</f>
        <v>0.97770025164705388</v>
      </c>
      <c r="V2">
        <f>_xlfn.PERCENTOF(S2,C2)*100</f>
        <v>98.125482876528935</v>
      </c>
      <c r="W2">
        <f t="shared" ref="W2:X4" si="1">_xlfn.PERCENTOF(T2,$C2)*100</f>
        <v>97.417133435378346</v>
      </c>
      <c r="X2">
        <f t="shared" si="1"/>
        <v>97.770025164705388</v>
      </c>
      <c r="Y2" s="1"/>
    </row>
    <row r="3" spans="1:25" x14ac:dyDescent="0.25">
      <c r="A3">
        <v>1024</v>
      </c>
      <c r="B3">
        <v>3</v>
      </c>
      <c r="C3">
        <v>1</v>
      </c>
      <c r="E3">
        <v>1.859313</v>
      </c>
      <c r="F3">
        <v>1.866269</v>
      </c>
      <c r="G3">
        <v>1.8800490000000001</v>
      </c>
      <c r="H3">
        <v>1.8870819999999999</v>
      </c>
      <c r="I3">
        <v>1.8725419999999999</v>
      </c>
      <c r="J3">
        <v>1.879475</v>
      </c>
      <c r="K3">
        <v>1.860433</v>
      </c>
      <c r="L3">
        <v>1.8674379999999999</v>
      </c>
      <c r="M3">
        <v>1.8546480000000001</v>
      </c>
      <c r="N3">
        <v>1.8625970000000001</v>
      </c>
      <c r="O3">
        <f t="shared" si="0"/>
        <v>1.8653970000000002</v>
      </c>
      <c r="P3">
        <f t="shared" si="0"/>
        <v>1.8725721999999998</v>
      </c>
      <c r="Q3">
        <f>AVERAGE(O3:P3)</f>
        <v>1.8689846000000001</v>
      </c>
      <c r="R3" s="1"/>
      <c r="S3">
        <f>(('Mode 0'!O3)/(O3))</f>
        <v>0.99346074856987543</v>
      </c>
      <c r="T3">
        <f>(('Mode 0'!$O$3)/(P3))</f>
        <v>0.98965407048123444</v>
      </c>
      <c r="U3">
        <f>(('Mode 0'!$O$3)/(Q3))</f>
        <v>0.99155375598065387</v>
      </c>
      <c r="V3">
        <f>_xlfn.PERCENTOF(S3,C3)*100</f>
        <v>99.346074856987542</v>
      </c>
      <c r="W3">
        <f t="shared" si="1"/>
        <v>98.965407048123438</v>
      </c>
      <c r="X3">
        <f t="shared" si="1"/>
        <v>99.15537559806539</v>
      </c>
      <c r="Y3" s="1"/>
    </row>
    <row r="4" spans="1:25" x14ac:dyDescent="0.25">
      <c r="A4">
        <v>2048</v>
      </c>
      <c r="B4">
        <v>3</v>
      </c>
      <c r="C4">
        <v>1</v>
      </c>
      <c r="E4">
        <v>49.855567999999998</v>
      </c>
      <c r="F4">
        <v>49.884472000000002</v>
      </c>
      <c r="G4">
        <v>50.79401</v>
      </c>
      <c r="H4">
        <v>50.823365000000003</v>
      </c>
      <c r="I4">
        <v>47.426813000000003</v>
      </c>
      <c r="J4">
        <v>47.455095999999998</v>
      </c>
      <c r="K4">
        <v>46.300275999999997</v>
      </c>
      <c r="L4">
        <v>46.300275999999997</v>
      </c>
      <c r="M4">
        <v>46.557997</v>
      </c>
      <c r="N4">
        <v>46.586773999999998</v>
      </c>
      <c r="O4">
        <f t="shared" si="0"/>
        <v>48.186932800000001</v>
      </c>
      <c r="P4">
        <f t="shared" si="0"/>
        <v>48.209996599999997</v>
      </c>
      <c r="Q4">
        <f>AVERAGE(O4:P4)</f>
        <v>48.198464700000002</v>
      </c>
      <c r="R4" s="1"/>
      <c r="S4">
        <f>(('Mode 0'!O4)/(O4))</f>
        <v>0.99112455233921826</v>
      </c>
      <c r="T4">
        <f>(('Mode 0'!$O$4)/(P4))</f>
        <v>0.99065039552398548</v>
      </c>
      <c r="U4">
        <f>(('Mode 0'!$O$4)/(Q4))</f>
        <v>0.99088741720854001</v>
      </c>
      <c r="V4">
        <f>_xlfn.PERCENTOF(S4,C4)*100</f>
        <v>99.112455233921821</v>
      </c>
      <c r="W4">
        <f t="shared" si="1"/>
        <v>99.065039552398545</v>
      </c>
      <c r="X4">
        <f t="shared" si="1"/>
        <v>99.088741720854003</v>
      </c>
      <c r="Y4" s="1"/>
    </row>
    <row r="5" spans="1:2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>
        <v>512</v>
      </c>
      <c r="B6">
        <v>3</v>
      </c>
      <c r="C6">
        <v>2</v>
      </c>
      <c r="E6">
        <v>0.124982</v>
      </c>
      <c r="F6">
        <v>0.126136</v>
      </c>
      <c r="G6">
        <v>0.122807</v>
      </c>
      <c r="H6">
        <v>0.125001</v>
      </c>
      <c r="I6">
        <v>0.124408</v>
      </c>
      <c r="J6">
        <v>0.12750400000000001</v>
      </c>
      <c r="K6">
        <v>0.121341</v>
      </c>
      <c r="L6">
        <v>0.12416099999999999</v>
      </c>
      <c r="M6">
        <v>0.12676699999999999</v>
      </c>
      <c r="N6">
        <v>0.12984699999999999</v>
      </c>
      <c r="O6">
        <f t="shared" ref="O6:P8" si="2">AVERAGE(E6,G6,I6,K6,M6)</f>
        <v>0.124061</v>
      </c>
      <c r="P6">
        <f t="shared" si="2"/>
        <v>0.1265298</v>
      </c>
      <c r="Q6">
        <f>AVERAGE(O6:P6)</f>
        <v>0.1252954</v>
      </c>
      <c r="R6" s="1"/>
      <c r="S6">
        <f>(('Mode 0'!O2)/(O6))</f>
        <v>1.8611626538557646</v>
      </c>
      <c r="T6">
        <f>(('Mode 0'!$O$2)/(P6))</f>
        <v>1.8248483756395728</v>
      </c>
      <c r="U6">
        <f>(('Mode 0'!$O$2)/(Q6))</f>
        <v>1.8428266321030142</v>
      </c>
      <c r="V6">
        <f>_xlfn.PERCENTOF(S6,C6)*100</f>
        <v>93.058132692788234</v>
      </c>
      <c r="W6">
        <f t="shared" ref="W6:X8" si="3">_xlfn.PERCENTOF(T6,$C6)*100</f>
        <v>91.242418781978643</v>
      </c>
      <c r="X6">
        <f t="shared" si="3"/>
        <v>92.141331605150711</v>
      </c>
      <c r="Y6" s="1"/>
    </row>
    <row r="7" spans="1:25" x14ac:dyDescent="0.25">
      <c r="A7">
        <v>1024</v>
      </c>
      <c r="B7">
        <v>3</v>
      </c>
      <c r="C7">
        <v>2</v>
      </c>
      <c r="E7">
        <v>1.031102</v>
      </c>
      <c r="F7">
        <v>1.042224</v>
      </c>
      <c r="G7">
        <v>1.024351</v>
      </c>
      <c r="H7">
        <v>1.038645</v>
      </c>
      <c r="I7">
        <v>1.0345960000000001</v>
      </c>
      <c r="J7">
        <v>1.0484739999999999</v>
      </c>
      <c r="K7">
        <v>1.026643</v>
      </c>
      <c r="L7">
        <v>1.039045</v>
      </c>
      <c r="M7">
        <v>1.0180830000000001</v>
      </c>
      <c r="N7">
        <v>1.0306850000000001</v>
      </c>
      <c r="O7">
        <f t="shared" si="2"/>
        <v>1.0269550000000001</v>
      </c>
      <c r="P7">
        <f t="shared" si="2"/>
        <v>1.0398145999999999</v>
      </c>
      <c r="Q7">
        <f>AVERAGE(O7:P7)</f>
        <v>1.0333847999999999</v>
      </c>
      <c r="R7" s="1"/>
      <c r="S7">
        <f>(('Mode 0'!O3)/(O7))</f>
        <v>1.8045568695804588</v>
      </c>
      <c r="T7">
        <f>(('Mode 0'!$O$3)/(P7))</f>
        <v>1.7822395453958815</v>
      </c>
      <c r="U7">
        <f>(('Mode 0'!$O$3)/(Q7))</f>
        <v>1.7933287774312148</v>
      </c>
      <c r="V7">
        <f>_xlfn.PERCENTOF(S7,C7)*100</f>
        <v>90.227843479022937</v>
      </c>
      <c r="W7">
        <f t="shared" si="3"/>
        <v>89.111977269794068</v>
      </c>
      <c r="X7">
        <f t="shared" si="3"/>
        <v>89.666438871560743</v>
      </c>
      <c r="Y7" s="1"/>
    </row>
    <row r="8" spans="1:25" x14ac:dyDescent="0.25">
      <c r="A8">
        <v>2048</v>
      </c>
      <c r="B8">
        <v>3</v>
      </c>
      <c r="C8">
        <v>2</v>
      </c>
      <c r="E8">
        <v>27.378057999999999</v>
      </c>
      <c r="F8">
        <v>27.492432000000001</v>
      </c>
      <c r="G8">
        <v>29.821560999999999</v>
      </c>
      <c r="H8">
        <v>29.869888</v>
      </c>
      <c r="I8">
        <v>29.237987</v>
      </c>
      <c r="J8">
        <v>29.275955</v>
      </c>
      <c r="K8">
        <v>27.881506000000002</v>
      </c>
      <c r="L8">
        <v>27.931820999999999</v>
      </c>
      <c r="M8">
        <v>27.012744000000001</v>
      </c>
      <c r="N8">
        <v>27.091428000000001</v>
      </c>
      <c r="O8">
        <f t="shared" si="2"/>
        <v>28.266371200000002</v>
      </c>
      <c r="P8">
        <f t="shared" si="2"/>
        <v>28.332304799999996</v>
      </c>
      <c r="Q8">
        <f>AVERAGE(O8:P8)</f>
        <v>28.299337999999999</v>
      </c>
      <c r="R8" s="1"/>
      <c r="S8">
        <f>(('Mode 0'!O4)/(O8))</f>
        <v>1.6896138475673874</v>
      </c>
      <c r="T8">
        <f>(('Mode 0'!$O$4)/(P8))</f>
        <v>1.6856818581169577</v>
      </c>
      <c r="U8">
        <f>(('Mode 0'!$O$4)/(Q8))</f>
        <v>1.6876455625923119</v>
      </c>
      <c r="V8">
        <f>_xlfn.PERCENTOF(S8,C8)*100</f>
        <v>84.480692378369369</v>
      </c>
      <c r="W8">
        <f t="shared" si="3"/>
        <v>84.284092905847885</v>
      </c>
      <c r="X8">
        <f t="shared" si="3"/>
        <v>84.382278129615599</v>
      </c>
      <c r="Y8" s="1"/>
    </row>
    <row r="9" spans="1:25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>
        <v>512</v>
      </c>
      <c r="B10">
        <v>3</v>
      </c>
      <c r="C10">
        <v>4</v>
      </c>
      <c r="E10">
        <v>6.9939000000000001E-2</v>
      </c>
      <c r="F10">
        <v>8.3516000000000007E-2</v>
      </c>
      <c r="G10">
        <v>7.1175000000000002E-2</v>
      </c>
      <c r="H10">
        <v>8.4636000000000003E-2</v>
      </c>
      <c r="I10">
        <v>6.8806000000000006E-2</v>
      </c>
      <c r="J10">
        <v>7.7854000000000007E-2</v>
      </c>
      <c r="K10">
        <v>7.1286000000000002E-2</v>
      </c>
      <c r="L10">
        <v>7.8830999999999998E-2</v>
      </c>
      <c r="M10">
        <v>7.4229000000000003E-2</v>
      </c>
      <c r="N10">
        <v>8.2858000000000001E-2</v>
      </c>
      <c r="O10">
        <f t="shared" ref="O10:P12" si="4">AVERAGE(E10,G10,I10,K10,M10)</f>
        <v>7.1086999999999997E-2</v>
      </c>
      <c r="P10">
        <f t="shared" si="4"/>
        <v>8.1539E-2</v>
      </c>
      <c r="Q10">
        <f>AVERAGE(O10:P10)</f>
        <v>7.6312999999999992E-2</v>
      </c>
      <c r="R10" s="1"/>
      <c r="S10">
        <f>(('Mode 0'!O2)/(O10))</f>
        <v>3.2481002152292264</v>
      </c>
      <c r="T10">
        <f>(('Mode 0'!$O$2)/(P10))</f>
        <v>2.8317455450765894</v>
      </c>
      <c r="U10">
        <f>(('Mode 0'!$O$2)/(Q10))</f>
        <v>3.0256666622986912</v>
      </c>
      <c r="V10">
        <f>_xlfn.PERCENTOF(S10,C10)*100</f>
        <v>81.202505380730656</v>
      </c>
      <c r="W10">
        <f t="shared" ref="W10:X12" si="5">_xlfn.PERCENTOF(T10,$C10)*100</f>
        <v>70.793638626914728</v>
      </c>
      <c r="X10">
        <f t="shared" si="5"/>
        <v>75.641666557467275</v>
      </c>
      <c r="Y10" s="1"/>
    </row>
    <row r="11" spans="1:25" x14ac:dyDescent="0.25">
      <c r="A11">
        <v>1024</v>
      </c>
      <c r="B11">
        <v>3</v>
      </c>
      <c r="C11">
        <v>4</v>
      </c>
      <c r="E11">
        <v>0.54444400000000004</v>
      </c>
      <c r="F11">
        <v>0.60380599999999995</v>
      </c>
      <c r="G11">
        <v>0.54245900000000002</v>
      </c>
      <c r="H11">
        <v>0.567438</v>
      </c>
      <c r="I11">
        <v>0.53395800000000004</v>
      </c>
      <c r="J11">
        <v>0.58903000000000005</v>
      </c>
      <c r="K11">
        <v>0.51961999999999997</v>
      </c>
      <c r="L11">
        <v>0.58224399999999998</v>
      </c>
      <c r="M11">
        <v>0.53283499999999995</v>
      </c>
      <c r="N11">
        <v>0.59296800000000005</v>
      </c>
      <c r="O11">
        <f t="shared" si="4"/>
        <v>0.53466320000000001</v>
      </c>
      <c r="P11">
        <f t="shared" si="4"/>
        <v>0.58709719999999999</v>
      </c>
      <c r="Q11">
        <f>AVERAGE(O11:P11)</f>
        <v>0.56088019999999994</v>
      </c>
      <c r="R11" s="1"/>
      <c r="S11">
        <f>(('Mode 0'!O3)/(O11))</f>
        <v>3.4661048301061306</v>
      </c>
      <c r="T11">
        <f>(('Mode 0'!$O$3)/(P11))</f>
        <v>3.1565449469014673</v>
      </c>
      <c r="U11">
        <f>(('Mode 0'!$O$3)/(Q11))</f>
        <v>3.3040900712843855</v>
      </c>
      <c r="V11">
        <f>_xlfn.PERCENTOF(S11,C11)*100</f>
        <v>86.652620752653263</v>
      </c>
      <c r="W11">
        <f t="shared" si="5"/>
        <v>78.913623672536687</v>
      </c>
      <c r="X11">
        <f t="shared" si="5"/>
        <v>82.602251782109633</v>
      </c>
      <c r="Y11" s="1"/>
    </row>
    <row r="12" spans="1:25" x14ac:dyDescent="0.25">
      <c r="A12">
        <v>2048</v>
      </c>
      <c r="B12">
        <v>3</v>
      </c>
      <c r="C12">
        <v>4</v>
      </c>
      <c r="E12">
        <v>11.041368</v>
      </c>
      <c r="F12">
        <v>11.253543000000001</v>
      </c>
      <c r="G12">
        <v>10.541798999999999</v>
      </c>
      <c r="H12">
        <v>10.716241</v>
      </c>
      <c r="I12">
        <v>11.254731</v>
      </c>
      <c r="J12">
        <v>11.332972</v>
      </c>
      <c r="K12">
        <v>11.273565</v>
      </c>
      <c r="L12">
        <v>11.557062</v>
      </c>
      <c r="M12">
        <v>11.072056999999999</v>
      </c>
      <c r="N12">
        <v>11.279775000000001</v>
      </c>
      <c r="O12">
        <f t="shared" si="4"/>
        <v>11.036703999999999</v>
      </c>
      <c r="P12">
        <f t="shared" si="4"/>
        <v>11.227918600000001</v>
      </c>
      <c r="Q12">
        <f>AVERAGE(O12:P12)</f>
        <v>11.1323113</v>
      </c>
      <c r="R12" s="1"/>
      <c r="S12">
        <f>(('Mode 0'!O4)/(O12))</f>
        <v>4.3273111428919355</v>
      </c>
      <c r="T12">
        <f>(('Mode 0'!$O$4)/(P12))</f>
        <v>4.2536158215468349</v>
      </c>
      <c r="U12">
        <f>(('Mode 0'!$O$4)/(Q12))</f>
        <v>4.2901470245446687</v>
      </c>
      <c r="V12">
        <f>_xlfn.PERCENTOF(S12,C12)*100</f>
        <v>108.18277857229839</v>
      </c>
      <c r="W12">
        <f t="shared" si="5"/>
        <v>106.34039553867088</v>
      </c>
      <c r="X12">
        <f t="shared" si="5"/>
        <v>107.25367561361672</v>
      </c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>
        <v>512</v>
      </c>
      <c r="B14">
        <v>3</v>
      </c>
      <c r="C14">
        <v>8</v>
      </c>
      <c r="E14">
        <v>3.8952000000000001E-2</v>
      </c>
      <c r="F14">
        <v>5.7199E-2</v>
      </c>
      <c r="G14">
        <v>4.0929E-2</v>
      </c>
      <c r="H14">
        <v>5.3815000000000002E-2</v>
      </c>
      <c r="I14">
        <v>4.3112999999999999E-2</v>
      </c>
      <c r="J14">
        <v>6.1845999999999998E-2</v>
      </c>
      <c r="K14">
        <v>4.3848999999999999E-2</v>
      </c>
      <c r="L14">
        <v>6.0151000000000003E-2</v>
      </c>
      <c r="M14">
        <v>4.1350999999999999E-2</v>
      </c>
      <c r="N14">
        <v>6.1324999999999998E-2</v>
      </c>
      <c r="O14">
        <f t="shared" ref="O14:P16" si="6">AVERAGE(E14,G14,I14,K14,M14)</f>
        <v>4.1638800000000004E-2</v>
      </c>
      <c r="P14">
        <f t="shared" si="6"/>
        <v>5.8867200000000008E-2</v>
      </c>
      <c r="Q14">
        <f>AVERAGE(O14:P14)</f>
        <v>5.0253000000000006E-2</v>
      </c>
      <c r="R14" s="1"/>
      <c r="S14">
        <f>(('Mode 0'!O2)/(O14))</f>
        <v>5.5452534655177379</v>
      </c>
      <c r="T14">
        <f>(('Mode 0'!$O$2)/(P14))</f>
        <v>3.9223489481409</v>
      </c>
      <c r="U14">
        <f>(('Mode 0'!$O$2)/(Q14))</f>
        <v>4.5947047937436567</v>
      </c>
      <c r="V14">
        <f>_xlfn.PERCENTOF(S14,C14)*100</f>
        <v>69.315668318971717</v>
      </c>
      <c r="W14">
        <f t="shared" ref="W14:X16" si="7">_xlfn.PERCENTOF(T14,$C14)*100</f>
        <v>49.029361851761252</v>
      </c>
      <c r="X14">
        <f t="shared" si="7"/>
        <v>57.433809921795707</v>
      </c>
      <c r="Y14" s="1"/>
    </row>
    <row r="15" spans="1:25" x14ac:dyDescent="0.25">
      <c r="A15">
        <v>1024</v>
      </c>
      <c r="B15">
        <v>3</v>
      </c>
      <c r="C15">
        <v>8</v>
      </c>
      <c r="E15">
        <v>0.29906199999999999</v>
      </c>
      <c r="F15">
        <v>0.38259399999999999</v>
      </c>
      <c r="G15">
        <v>0.316747</v>
      </c>
      <c r="H15">
        <v>0.37376799999999999</v>
      </c>
      <c r="I15">
        <v>0.380469</v>
      </c>
      <c r="J15">
        <v>0.43528499999999998</v>
      </c>
      <c r="K15">
        <v>0.30925799999999998</v>
      </c>
      <c r="L15">
        <v>0.39475300000000002</v>
      </c>
      <c r="M15">
        <v>0.32278499999999999</v>
      </c>
      <c r="N15">
        <v>0.41870400000000002</v>
      </c>
      <c r="O15">
        <f t="shared" si="6"/>
        <v>0.32566420000000001</v>
      </c>
      <c r="P15">
        <f t="shared" si="6"/>
        <v>0.40102079999999996</v>
      </c>
      <c r="Q15">
        <f>AVERAGE(O15:P15)</f>
        <v>0.36334250000000001</v>
      </c>
      <c r="R15" s="1"/>
      <c r="S15">
        <f>(('Mode 0'!O3)/(O15))</f>
        <v>5.6905201738477853</v>
      </c>
      <c r="T15">
        <f>(('Mode 0'!$O$3)/(P15))</f>
        <v>4.6212034388241214</v>
      </c>
      <c r="U15">
        <f>(('Mode 0'!$O$3)/(Q15))</f>
        <v>5.100418200458245</v>
      </c>
      <c r="V15">
        <f>_xlfn.PERCENTOF(S15,C15)*100</f>
        <v>71.131502173097317</v>
      </c>
      <c r="W15">
        <f t="shared" si="7"/>
        <v>57.76504298530152</v>
      </c>
      <c r="X15">
        <f t="shared" si="7"/>
        <v>63.755227505728065</v>
      </c>
      <c r="Y15" s="1"/>
    </row>
    <row r="16" spans="1:25" x14ac:dyDescent="0.25">
      <c r="A16">
        <v>2048</v>
      </c>
      <c r="B16">
        <v>3</v>
      </c>
      <c r="C16">
        <v>8</v>
      </c>
      <c r="E16">
        <v>5.1053990000000002</v>
      </c>
      <c r="F16">
        <v>5.4333309999999999</v>
      </c>
      <c r="G16">
        <v>5.1099579999999998</v>
      </c>
      <c r="H16">
        <v>5.5276579999999997</v>
      </c>
      <c r="I16">
        <v>5.3026629999999999</v>
      </c>
      <c r="J16">
        <v>5.6286230000000002</v>
      </c>
      <c r="K16">
        <v>5.47105</v>
      </c>
      <c r="L16">
        <v>5.771865</v>
      </c>
      <c r="M16">
        <v>5.3739379999999999</v>
      </c>
      <c r="N16">
        <v>5.5967849999999997</v>
      </c>
      <c r="O16">
        <f t="shared" si="6"/>
        <v>5.2726015999999998</v>
      </c>
      <c r="P16">
        <f t="shared" si="6"/>
        <v>5.5916524000000001</v>
      </c>
      <c r="Q16">
        <f>AVERAGE(O16:P16)</f>
        <v>5.4321269999999995</v>
      </c>
      <c r="R16" s="1"/>
      <c r="S16">
        <f>(('Mode 0'!O4)/(O16))</f>
        <v>9.0580051032112863</v>
      </c>
      <c r="T16">
        <f>(('Mode 0'!$O$4)/(P16))</f>
        <v>8.5411697265015949</v>
      </c>
      <c r="U16">
        <f>(('Mode 0'!$O$4)/(Q16))</f>
        <v>8.7919984565898393</v>
      </c>
      <c r="V16">
        <f>_xlfn.PERCENTOF(S16,C16)*100</f>
        <v>113.22506379014108</v>
      </c>
      <c r="W16">
        <f t="shared" si="7"/>
        <v>106.76462158126994</v>
      </c>
      <c r="X16">
        <f t="shared" si="7"/>
        <v>109.89998070737299</v>
      </c>
      <c r="Y16" s="1"/>
    </row>
    <row r="17" spans="1: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>
        <v>512</v>
      </c>
      <c r="B18">
        <v>3</v>
      </c>
      <c r="C18">
        <v>12</v>
      </c>
      <c r="E18">
        <v>3.9197000000000003E-2</v>
      </c>
      <c r="F18">
        <v>6.2584000000000001E-2</v>
      </c>
      <c r="G18">
        <v>3.4860000000000002E-2</v>
      </c>
      <c r="H18">
        <v>5.8936000000000002E-2</v>
      </c>
      <c r="I18">
        <v>3.5769000000000002E-2</v>
      </c>
      <c r="J18">
        <v>6.0976000000000002E-2</v>
      </c>
      <c r="K18">
        <v>3.6524000000000001E-2</v>
      </c>
      <c r="L18">
        <v>6.4399999999999999E-2</v>
      </c>
      <c r="M18">
        <v>3.6228000000000003E-2</v>
      </c>
      <c r="N18">
        <v>6.1904000000000001E-2</v>
      </c>
      <c r="O18">
        <f t="shared" ref="O18:P20" si="8">AVERAGE(E18,G18,I18,K18,M18)</f>
        <v>3.6515600000000002E-2</v>
      </c>
      <c r="P18">
        <f t="shared" si="8"/>
        <v>6.1760000000000002E-2</v>
      </c>
      <c r="Q18">
        <f>AVERAGE(O18:P18)</f>
        <v>4.9137800000000002E-2</v>
      </c>
      <c r="R18" s="1"/>
      <c r="S18">
        <f>(('Mode 0'!O2)/(O18))</f>
        <v>6.323261838775756</v>
      </c>
      <c r="T18">
        <f>(('Mode 0'!$O$2)/(P18))</f>
        <v>3.7386285621761659</v>
      </c>
      <c r="U18">
        <f>(('Mode 0'!$O$2)/(Q18))</f>
        <v>4.6989832674641514</v>
      </c>
      <c r="V18">
        <f>_xlfn.PERCENTOF(S18,C18)*100</f>
        <v>52.693848656464638</v>
      </c>
      <c r="W18">
        <f t="shared" ref="W18:X20" si="9">_xlfn.PERCENTOF(T18,$C18)*100</f>
        <v>31.155238018134717</v>
      </c>
      <c r="X18">
        <f t="shared" si="9"/>
        <v>39.158193895534595</v>
      </c>
      <c r="Y18" s="1"/>
    </row>
    <row r="19" spans="1:25" x14ac:dyDescent="0.25">
      <c r="A19">
        <v>1024</v>
      </c>
      <c r="B19">
        <v>3</v>
      </c>
      <c r="C19">
        <v>12</v>
      </c>
      <c r="E19">
        <v>0.32827000000000001</v>
      </c>
      <c r="F19">
        <v>0.419983</v>
      </c>
      <c r="G19">
        <v>0.31904399999999999</v>
      </c>
      <c r="H19">
        <v>0.408163</v>
      </c>
      <c r="I19">
        <v>0.33076</v>
      </c>
      <c r="J19">
        <v>0.427948</v>
      </c>
      <c r="K19">
        <v>0.34378700000000001</v>
      </c>
      <c r="L19">
        <v>0.41437299999999999</v>
      </c>
      <c r="M19">
        <v>0.31466100000000002</v>
      </c>
      <c r="N19">
        <v>0.419572</v>
      </c>
      <c r="O19">
        <f t="shared" si="8"/>
        <v>0.3273044</v>
      </c>
      <c r="P19">
        <f t="shared" si="8"/>
        <v>0.41800779999999998</v>
      </c>
      <c r="Q19">
        <f>AVERAGE(O19:P19)</f>
        <v>0.37265609999999999</v>
      </c>
      <c r="R19" s="1"/>
      <c r="S19">
        <f>(('Mode 0'!O3)/(O19))</f>
        <v>5.6620036272045233</v>
      </c>
      <c r="T19">
        <f>(('Mode 0'!$O$3)/(P19))</f>
        <v>4.4334069842715857</v>
      </c>
      <c r="U19">
        <f>(('Mode 0'!$O$3)/(Q19))</f>
        <v>4.9729461023179287</v>
      </c>
      <c r="V19">
        <f>_xlfn.PERCENTOF(S19,C19)*100</f>
        <v>47.183363560037691</v>
      </c>
      <c r="W19">
        <f t="shared" si="9"/>
        <v>36.945058202263212</v>
      </c>
      <c r="X19">
        <f t="shared" si="9"/>
        <v>41.441217519316069</v>
      </c>
      <c r="Y19" s="1"/>
    </row>
    <row r="20" spans="1:25" x14ac:dyDescent="0.25">
      <c r="A20">
        <v>2048</v>
      </c>
      <c r="B20">
        <v>3</v>
      </c>
      <c r="C20">
        <v>12</v>
      </c>
      <c r="E20">
        <v>5.7164630000000001</v>
      </c>
      <c r="F20">
        <v>6.1408050000000003</v>
      </c>
      <c r="G20">
        <v>5.1984589999999997</v>
      </c>
      <c r="H20">
        <v>5.1984589999999997</v>
      </c>
      <c r="I20">
        <v>5.6449480000000003</v>
      </c>
      <c r="J20">
        <v>5.8230709999999997</v>
      </c>
      <c r="K20">
        <v>5.5075789999999998</v>
      </c>
      <c r="L20">
        <v>5.8842369999999997</v>
      </c>
      <c r="M20">
        <v>5.654261</v>
      </c>
      <c r="N20">
        <v>6.0955370000000002</v>
      </c>
      <c r="O20">
        <f t="shared" si="8"/>
        <v>5.5443420000000003</v>
      </c>
      <c r="P20">
        <f t="shared" si="8"/>
        <v>5.8284217999999992</v>
      </c>
      <c r="Q20">
        <f>AVERAGE(O20:P20)</f>
        <v>5.6863818999999998</v>
      </c>
      <c r="R20" s="1"/>
      <c r="S20">
        <f>(('Mode 0'!O4)/(O20))</f>
        <v>8.614052343812844</v>
      </c>
      <c r="T20">
        <f>(('Mode 0'!$O$4)/(P20))</f>
        <v>8.1941997059993152</v>
      </c>
      <c r="U20">
        <f>(('Mode 0'!$O$4)/(Q20))</f>
        <v>8.3988822840055803</v>
      </c>
      <c r="V20">
        <f>_xlfn.PERCENTOF(S20,C20)*100</f>
        <v>71.7837695317737</v>
      </c>
      <c r="W20">
        <f t="shared" si="9"/>
        <v>68.284997549994301</v>
      </c>
      <c r="X20">
        <f t="shared" si="9"/>
        <v>69.990685700046512</v>
      </c>
      <c r="Y20" s="1"/>
    </row>
    <row r="21" spans="1:2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x14ac:dyDescent="0.25">
      <c r="A22">
        <v>512</v>
      </c>
      <c r="B22">
        <v>3</v>
      </c>
      <c r="C22">
        <v>16</v>
      </c>
      <c r="E22">
        <v>2.6006000000000001E-2</v>
      </c>
      <c r="F22">
        <v>5.7266999999999998E-2</v>
      </c>
      <c r="G22">
        <v>3.4743000000000003E-2</v>
      </c>
      <c r="H22">
        <v>5.7942E-2</v>
      </c>
      <c r="I22">
        <v>2.8917000000000002E-2</v>
      </c>
      <c r="J22">
        <v>5.6925000000000003E-2</v>
      </c>
      <c r="K22">
        <v>2.9926000000000001E-2</v>
      </c>
      <c r="L22">
        <v>5.7717999999999998E-2</v>
      </c>
      <c r="M22">
        <v>2.6360999999999999E-2</v>
      </c>
      <c r="N22">
        <v>5.4044000000000002E-2</v>
      </c>
      <c r="O22">
        <f t="shared" ref="O22:P24" si="10">AVERAGE(E22,G22,I22,K22,M22)</f>
        <v>2.9190600000000001E-2</v>
      </c>
      <c r="P22">
        <f t="shared" si="10"/>
        <v>5.6779199999999995E-2</v>
      </c>
      <c r="Q22">
        <f>AVERAGE(O22:P22)</f>
        <v>4.2984899999999999E-2</v>
      </c>
      <c r="R22" s="1"/>
      <c r="S22">
        <f>(('Mode 0'!O2)/(O22))</f>
        <v>7.9100018499105875</v>
      </c>
      <c r="T22">
        <f>(('Mode 0'!$O$2)/(P22))</f>
        <v>4.0665895257418212</v>
      </c>
      <c r="U22">
        <f>(('Mode 0'!$O$2)/(Q22))</f>
        <v>5.3716002596260548</v>
      </c>
      <c r="V22">
        <f>_xlfn.PERCENTOF(S22,C22)*100</f>
        <v>49.437511561941172</v>
      </c>
      <c r="W22">
        <f t="shared" ref="W22:X24" si="11">_xlfn.PERCENTOF(T22,$C22)*100</f>
        <v>25.416184535886384</v>
      </c>
      <c r="X22">
        <f t="shared" si="11"/>
        <v>33.572501622662841</v>
      </c>
      <c r="Y22" s="1"/>
    </row>
    <row r="23" spans="1:25" x14ac:dyDescent="0.25">
      <c r="A23">
        <v>1024</v>
      </c>
      <c r="B23">
        <v>3</v>
      </c>
      <c r="C23">
        <v>16</v>
      </c>
      <c r="E23">
        <v>0.25181399999999998</v>
      </c>
      <c r="F23">
        <v>0.35971700000000001</v>
      </c>
      <c r="G23">
        <v>0.27151599999999998</v>
      </c>
      <c r="H23">
        <v>0.38281700000000002</v>
      </c>
      <c r="I23">
        <v>0.28102100000000002</v>
      </c>
      <c r="J23">
        <v>0.35427900000000001</v>
      </c>
      <c r="K23">
        <v>0.27073900000000001</v>
      </c>
      <c r="L23">
        <v>0.36161500000000002</v>
      </c>
      <c r="M23">
        <v>0.270403</v>
      </c>
      <c r="N23">
        <v>0.38613399999999998</v>
      </c>
      <c r="O23">
        <f t="shared" si="10"/>
        <v>0.26909860000000002</v>
      </c>
      <c r="P23">
        <f t="shared" si="10"/>
        <v>0.36891240000000003</v>
      </c>
      <c r="Q23">
        <f>AVERAGE(O23:P23)</f>
        <v>0.31900550000000005</v>
      </c>
      <c r="R23" s="1"/>
      <c r="S23">
        <f>(('Mode 0'!O3)/(O23))</f>
        <v>6.8866902317589167</v>
      </c>
      <c r="T23">
        <f>(('Mode 0'!$O$3)/(P23))</f>
        <v>5.0234112488493201</v>
      </c>
      <c r="U23">
        <f>(('Mode 0'!$O$3)/(Q23))</f>
        <v>5.8093001531321553</v>
      </c>
      <c r="V23">
        <f>_xlfn.PERCENTOF(S23,C23)*100</f>
        <v>43.041813948493228</v>
      </c>
      <c r="W23">
        <f t="shared" si="11"/>
        <v>31.396320305308251</v>
      </c>
      <c r="X23">
        <f t="shared" si="11"/>
        <v>36.308125957075973</v>
      </c>
      <c r="Y23" s="1"/>
    </row>
    <row r="24" spans="1:25" x14ac:dyDescent="0.25">
      <c r="A24">
        <v>2048</v>
      </c>
      <c r="B24">
        <v>3</v>
      </c>
      <c r="C24">
        <v>16</v>
      </c>
      <c r="E24">
        <v>4.3086520000000004</v>
      </c>
      <c r="F24">
        <v>4.7211220000000003</v>
      </c>
      <c r="G24">
        <v>4.7012390000000002</v>
      </c>
      <c r="H24">
        <v>5.1606839999999998</v>
      </c>
      <c r="I24">
        <v>4.137105</v>
      </c>
      <c r="J24">
        <v>4.5229499999999998</v>
      </c>
      <c r="K24">
        <v>4.066554</v>
      </c>
      <c r="L24">
        <v>4.4583750000000002</v>
      </c>
      <c r="M24">
        <v>4.3941840000000001</v>
      </c>
      <c r="N24">
        <v>4.7103590000000004</v>
      </c>
      <c r="O24">
        <f t="shared" si="10"/>
        <v>4.3215467999999992</v>
      </c>
      <c r="P24">
        <f t="shared" si="10"/>
        <v>4.7146980000000003</v>
      </c>
      <c r="Q24">
        <f>AVERAGE(O24:P24)</f>
        <v>4.5181223999999993</v>
      </c>
      <c r="R24" s="1"/>
      <c r="S24">
        <f>(('Mode 0'!O4)/(O24))</f>
        <v>11.051425429431887</v>
      </c>
      <c r="T24">
        <f>(('Mode 0'!$O$4)/(P24))</f>
        <v>10.129864563965707</v>
      </c>
      <c r="U24">
        <f>(('Mode 0'!$O$4)/(Q24))</f>
        <v>10.570597246325155</v>
      </c>
      <c r="V24">
        <f>_xlfn.PERCENTOF(S24,C24)*100</f>
        <v>69.0714089339493</v>
      </c>
      <c r="W24">
        <f t="shared" si="11"/>
        <v>63.311653524785669</v>
      </c>
      <c r="X24">
        <f t="shared" si="11"/>
        <v>66.066232789532222</v>
      </c>
      <c r="Y24" s="1"/>
    </row>
    <row r="25" spans="1:2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x14ac:dyDescent="0.25">
      <c r="A26">
        <v>512</v>
      </c>
      <c r="B26">
        <v>3</v>
      </c>
      <c r="C26">
        <v>20</v>
      </c>
      <c r="E26">
        <v>2.7019000000000001E-3</v>
      </c>
      <c r="F26">
        <v>3.9668000000000002E-2</v>
      </c>
      <c r="G26">
        <v>4.9259999999999998E-2</v>
      </c>
      <c r="H26">
        <v>6.0070999999999999E-2</v>
      </c>
      <c r="I26">
        <v>2.5121999999999998E-2</v>
      </c>
      <c r="J26">
        <v>5.6611000000000002E-2</v>
      </c>
      <c r="K26">
        <v>2.4867E-2</v>
      </c>
      <c r="L26">
        <v>5.8524E-2</v>
      </c>
      <c r="M26">
        <v>2.3532999999999998E-2</v>
      </c>
      <c r="N26">
        <v>5.3766000000000001E-2</v>
      </c>
      <c r="O26">
        <f t="shared" ref="O26:P28" si="12">AVERAGE(E26,G26,I26,K26,M26)</f>
        <v>2.5096779999999996E-2</v>
      </c>
      <c r="P26">
        <f t="shared" si="12"/>
        <v>5.3727999999999998E-2</v>
      </c>
      <c r="Q26">
        <f>AVERAGE(O26:P26)</f>
        <v>3.9412389999999999E-2</v>
      </c>
      <c r="R26" s="1"/>
      <c r="S26">
        <f>(('Mode 0'!O2)/(O26))</f>
        <v>9.2002918302666732</v>
      </c>
      <c r="T26">
        <f>(('Mode 0'!$O$2)/(P26))</f>
        <v>4.2975301518761171</v>
      </c>
      <c r="U26">
        <f>(('Mode 0'!$O$2)/(Q26))</f>
        <v>5.858505409085824</v>
      </c>
      <c r="V26">
        <f>_xlfn.PERCENTOF(S26,C26)*100</f>
        <v>46.001459151333371</v>
      </c>
      <c r="W26">
        <f t="shared" ref="W26:X28" si="13">_xlfn.PERCENTOF(T26,$C26)*100</f>
        <v>21.487650759380585</v>
      </c>
      <c r="X26">
        <f t="shared" si="13"/>
        <v>29.292527045429118</v>
      </c>
      <c r="Y26" s="1"/>
    </row>
    <row r="27" spans="1:25" x14ac:dyDescent="0.25">
      <c r="A27">
        <v>1024</v>
      </c>
      <c r="B27">
        <v>3</v>
      </c>
      <c r="C27">
        <v>20</v>
      </c>
      <c r="E27">
        <v>0.24052399999999999</v>
      </c>
      <c r="F27">
        <v>0.33833400000000002</v>
      </c>
      <c r="G27">
        <v>0.23525299999999999</v>
      </c>
      <c r="H27">
        <v>0.34781800000000002</v>
      </c>
      <c r="I27">
        <v>0.24010999999999999</v>
      </c>
      <c r="J27">
        <v>0.35917500000000002</v>
      </c>
      <c r="K27">
        <v>0.23724799999999999</v>
      </c>
      <c r="L27">
        <v>0.33803499999999997</v>
      </c>
      <c r="M27">
        <v>0.241644</v>
      </c>
      <c r="N27">
        <v>0.33825899999999998</v>
      </c>
      <c r="O27">
        <f t="shared" si="12"/>
        <v>0.2389558</v>
      </c>
      <c r="P27">
        <f t="shared" si="12"/>
        <v>0.34432419999999997</v>
      </c>
      <c r="Q27">
        <f>AVERAGE(O27:P27)</f>
        <v>0.29164000000000001</v>
      </c>
      <c r="R27" s="1"/>
      <c r="S27">
        <f>(('Mode 0'!O3)/(O27))</f>
        <v>7.7554037190141445</v>
      </c>
      <c r="T27">
        <f>(('Mode 0'!$O$3)/(P27))</f>
        <v>5.3821331756524815</v>
      </c>
      <c r="U27">
        <f>(('Mode 0'!$O$3)/(Q27))</f>
        <v>6.3544050884652314</v>
      </c>
      <c r="V27">
        <f>_xlfn.PERCENTOF(S27,C27)*100</f>
        <v>38.777018595070722</v>
      </c>
      <c r="W27">
        <f t="shared" si="13"/>
        <v>26.910665878262407</v>
      </c>
      <c r="X27">
        <f t="shared" si="13"/>
        <v>31.772025442326157</v>
      </c>
      <c r="Y27" s="1"/>
    </row>
    <row r="28" spans="1:25" x14ac:dyDescent="0.25">
      <c r="A28">
        <v>2048</v>
      </c>
      <c r="B28">
        <v>3</v>
      </c>
      <c r="C28">
        <v>20</v>
      </c>
      <c r="E28">
        <v>4.4455289999999996</v>
      </c>
      <c r="F28">
        <v>4.857507</v>
      </c>
      <c r="G28">
        <v>4.1571220000000002</v>
      </c>
      <c r="H28">
        <v>4.5685570000000002</v>
      </c>
      <c r="I28">
        <v>4.1907509999999997</v>
      </c>
      <c r="J28">
        <v>4.6639889999999999</v>
      </c>
      <c r="K28">
        <v>4.0203980000000001</v>
      </c>
      <c r="L28">
        <v>4.4253270000000002</v>
      </c>
      <c r="M28">
        <v>4.99404</v>
      </c>
      <c r="N28">
        <v>5.3534819999999996</v>
      </c>
      <c r="O28">
        <f t="shared" si="12"/>
        <v>4.3615680000000001</v>
      </c>
      <c r="P28">
        <f t="shared" si="12"/>
        <v>4.7737724000000004</v>
      </c>
      <c r="Q28">
        <f>AVERAGE(O28:P28)</f>
        <v>4.5676702000000002</v>
      </c>
      <c r="R28" s="1"/>
      <c r="S28">
        <f>(('Mode 0'!O4)/(O28))</f>
        <v>10.950018938143344</v>
      </c>
      <c r="T28">
        <f>(('Mode 0'!$O$4)/(P28))</f>
        <v>10.004509682950111</v>
      </c>
      <c r="U28">
        <f>(('Mode 0'!$O$4)/(Q28))</f>
        <v>10.455932698468464</v>
      </c>
      <c r="V28">
        <f>_xlfn.PERCENTOF(S28,C28)*100</f>
        <v>54.750094690716722</v>
      </c>
      <c r="W28">
        <f t="shared" si="13"/>
        <v>50.02254841475056</v>
      </c>
      <c r="X28">
        <f t="shared" si="13"/>
        <v>52.279663492342323</v>
      </c>
      <c r="Y28" s="1"/>
    </row>
    <row r="29" spans="1:2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996D3-58D8-4A5F-A66A-B736BA57E7BC}">
  <dimension ref="A1:S29"/>
  <sheetViews>
    <sheetView topLeftCell="C1" workbookViewId="0">
      <selection activeCell="O10" sqref="O10"/>
    </sheetView>
  </sheetViews>
  <sheetFormatPr defaultRowHeight="15" x14ac:dyDescent="0.25"/>
  <cols>
    <col min="15" max="15" width="12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/>
      <c r="Q1" t="s">
        <v>4</v>
      </c>
      <c r="R1" t="s">
        <v>32</v>
      </c>
      <c r="S1" s="1"/>
    </row>
    <row r="2" spans="1:19" x14ac:dyDescent="0.25">
      <c r="A2">
        <v>512</v>
      </c>
      <c r="B2">
        <v>4</v>
      </c>
      <c r="C2">
        <v>1</v>
      </c>
      <c r="E2">
        <v>0.234406</v>
      </c>
      <c r="F2">
        <v>0.22786200000000001</v>
      </c>
      <c r="G2">
        <v>0.277202</v>
      </c>
      <c r="H2">
        <v>0.23957500000000001</v>
      </c>
      <c r="I2">
        <v>0.23957500000000001</v>
      </c>
      <c r="J2">
        <v>0.233907</v>
      </c>
      <c r="K2">
        <v>0.22770000000000001</v>
      </c>
      <c r="L2">
        <v>0.24012900000000001</v>
      </c>
      <c r="M2">
        <v>0.223857</v>
      </c>
      <c r="N2">
        <v>0.22706999999999999</v>
      </c>
      <c r="O2">
        <f>AVERAGE(D2:N2)</f>
        <v>0.23712830000000001</v>
      </c>
      <c r="P2" s="1"/>
      <c r="Q2">
        <f>(('Mode 0'!O2)/(O2))</f>
        <v>0.97372477262309054</v>
      </c>
      <c r="R2">
        <f>_xlfn.PERCENTOF(Q2,C2)*100</f>
        <v>97.372477262309047</v>
      </c>
      <c r="S2" s="1"/>
    </row>
    <row r="3" spans="1:19" x14ac:dyDescent="0.25">
      <c r="A3">
        <v>1024</v>
      </c>
      <c r="B3">
        <v>4</v>
      </c>
      <c r="C3">
        <v>1</v>
      </c>
      <c r="E3">
        <v>1.853999</v>
      </c>
      <c r="F3">
        <v>1.8836489999999999</v>
      </c>
      <c r="G3">
        <v>1.8585970000000001</v>
      </c>
      <c r="H3">
        <v>1.8702350000000001</v>
      </c>
      <c r="I3">
        <v>1.8519140000000001</v>
      </c>
      <c r="J3">
        <v>1.8806039999999999</v>
      </c>
      <c r="K3">
        <v>1.8853439999999999</v>
      </c>
      <c r="L3">
        <v>1.865445</v>
      </c>
      <c r="M3">
        <v>1.8723669999999999</v>
      </c>
      <c r="N3">
        <v>1.855793</v>
      </c>
      <c r="O3">
        <f>AVERAGE(D3:N3)</f>
        <v>1.8677946999999997</v>
      </c>
      <c r="P3" s="1"/>
      <c r="Q3">
        <f>(('Mode 0'!O3)/(O3))</f>
        <v>0.99218543665425352</v>
      </c>
      <c r="R3">
        <f>_xlfn.PERCENTOF(Q3,C3)*100</f>
        <v>99.218543665425358</v>
      </c>
      <c r="S3" s="1"/>
    </row>
    <row r="4" spans="1:19" x14ac:dyDescent="0.25">
      <c r="A4">
        <v>2048</v>
      </c>
      <c r="B4">
        <v>4</v>
      </c>
      <c r="C4">
        <v>1</v>
      </c>
      <c r="E4">
        <v>46.384264000000002</v>
      </c>
      <c r="F4">
        <v>47.747829000000003</v>
      </c>
      <c r="G4">
        <v>50.247653999999997</v>
      </c>
      <c r="H4">
        <v>49.265340000000002</v>
      </c>
      <c r="I4">
        <v>51.057763000000001</v>
      </c>
      <c r="J4">
        <v>46.325322</v>
      </c>
      <c r="K4">
        <v>45.542841000000003</v>
      </c>
      <c r="L4">
        <v>48.034320000000001</v>
      </c>
      <c r="M4">
        <v>48.123896999999999</v>
      </c>
      <c r="N4">
        <v>53.916528</v>
      </c>
      <c r="O4">
        <f>AVERAGE(D4:N4)</f>
        <v>48.664575800000001</v>
      </c>
      <c r="P4" s="1"/>
      <c r="Q4">
        <f>(('Mode 0'!O4)/(O4))</f>
        <v>0.9813966610184649</v>
      </c>
      <c r="R4">
        <f>_xlfn.PERCENTOF(Q4,C4)*100</f>
        <v>98.139666101846487</v>
      </c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>
        <v>512</v>
      </c>
      <c r="B6">
        <v>4</v>
      </c>
      <c r="C6">
        <v>2</v>
      </c>
      <c r="E6">
        <v>0.12237000000000001</v>
      </c>
      <c r="F6">
        <v>0.121651</v>
      </c>
      <c r="G6">
        <v>0.120366</v>
      </c>
      <c r="H6">
        <v>0.11811199999999999</v>
      </c>
      <c r="I6">
        <v>0.12556899999999999</v>
      </c>
      <c r="J6">
        <v>0.12892400000000001</v>
      </c>
      <c r="K6">
        <v>0.11848499999999999</v>
      </c>
      <c r="L6">
        <v>0.120305</v>
      </c>
      <c r="M6">
        <v>0.12353600000000001</v>
      </c>
      <c r="N6">
        <v>0.117979</v>
      </c>
      <c r="O6">
        <f>AVERAGE(D6:N6)</f>
        <v>0.12172970000000001</v>
      </c>
      <c r="P6" s="1"/>
      <c r="Q6">
        <f>(('Mode 0'!O2)/(O6))</f>
        <v>1.8968066133408692</v>
      </c>
      <c r="R6">
        <f>_xlfn.PERCENTOF(Q6,C6)*100</f>
        <v>94.84033066704346</v>
      </c>
      <c r="S6" s="1"/>
    </row>
    <row r="7" spans="1:19" x14ac:dyDescent="0.25">
      <c r="A7">
        <v>1024</v>
      </c>
      <c r="B7">
        <v>4</v>
      </c>
      <c r="C7">
        <v>2</v>
      </c>
      <c r="E7">
        <v>0.994618</v>
      </c>
      <c r="F7">
        <v>1.006189</v>
      </c>
      <c r="G7">
        <v>0.98948800000000003</v>
      </c>
      <c r="H7">
        <v>1.0049699999999999</v>
      </c>
      <c r="I7">
        <v>1.008189</v>
      </c>
      <c r="J7">
        <v>0.99074799999999996</v>
      </c>
      <c r="K7">
        <v>0.99390500000000004</v>
      </c>
      <c r="L7">
        <v>0.99441599999999997</v>
      </c>
      <c r="M7">
        <v>1.0114300000000001</v>
      </c>
      <c r="N7">
        <v>0.972499</v>
      </c>
      <c r="O7">
        <f>AVERAGE(D7:N7)</f>
        <v>0.99664520000000001</v>
      </c>
      <c r="P7" s="1"/>
      <c r="Q7">
        <f>(('Mode 0'!O3)/(O7))</f>
        <v>1.8594367383698833</v>
      </c>
      <c r="R7">
        <f>_xlfn.PERCENTOF(Q7,C7)*100</f>
        <v>92.971836918494162</v>
      </c>
      <c r="S7" s="1"/>
    </row>
    <row r="8" spans="1:19" x14ac:dyDescent="0.25">
      <c r="A8">
        <v>2048</v>
      </c>
      <c r="B8">
        <v>4</v>
      </c>
      <c r="C8">
        <v>2</v>
      </c>
      <c r="E8">
        <v>27.285416999999999</v>
      </c>
      <c r="F8">
        <v>29.009481999999998</v>
      </c>
      <c r="G8">
        <v>28.247237999999999</v>
      </c>
      <c r="H8">
        <v>27.638577999999999</v>
      </c>
      <c r="I8">
        <v>27.743897</v>
      </c>
      <c r="J8">
        <v>27.808236999999998</v>
      </c>
      <c r="K8">
        <v>28.808304</v>
      </c>
      <c r="L8">
        <v>30.034254000000001</v>
      </c>
      <c r="M8">
        <v>30.104631000000001</v>
      </c>
      <c r="N8">
        <v>27.521905</v>
      </c>
      <c r="O8">
        <f>AVERAGE(D8:N8)</f>
        <v>28.420194299999999</v>
      </c>
      <c r="P8" s="1"/>
      <c r="Q8">
        <f>(('Mode 0'!O4)/(O8))</f>
        <v>1.6804688840568551</v>
      </c>
      <c r="R8">
        <f>_xlfn.PERCENTOF(Q8,C8)*100</f>
        <v>84.023444202842754</v>
      </c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>
        <v>512</v>
      </c>
      <c r="B10">
        <v>4</v>
      </c>
      <c r="C10">
        <v>4</v>
      </c>
      <c r="E10">
        <v>6.1905000000000002E-2</v>
      </c>
      <c r="F10">
        <v>6.6411999999999999E-2</v>
      </c>
      <c r="G10">
        <v>6.5563999999999997E-2</v>
      </c>
      <c r="H10">
        <v>6.4852999999999994E-2</v>
      </c>
      <c r="I10">
        <v>6.0759000000000001E-2</v>
      </c>
      <c r="J10">
        <v>6.4550999999999997E-2</v>
      </c>
      <c r="K10">
        <v>6.4156000000000005E-2</v>
      </c>
      <c r="L10">
        <v>6.4030000000000004E-2</v>
      </c>
      <c r="M10">
        <v>6.6239000000000006E-2</v>
      </c>
      <c r="N10">
        <v>6.2683000000000003E-2</v>
      </c>
      <c r="O10">
        <f>AVERAGE(D10:N10)</f>
        <v>6.4115200000000011E-2</v>
      </c>
      <c r="P10" s="1"/>
      <c r="Q10">
        <f>(('Mode 0'!O2)/(O10))</f>
        <v>3.601294232880814</v>
      </c>
      <c r="R10">
        <f>_xlfn.PERCENTOF(Q10,C10)*100</f>
        <v>90.032355822020349</v>
      </c>
      <c r="S10" s="1"/>
    </row>
    <row r="11" spans="1:19" x14ac:dyDescent="0.25">
      <c r="A11">
        <v>1024</v>
      </c>
      <c r="B11">
        <v>4</v>
      </c>
      <c r="C11">
        <v>4</v>
      </c>
      <c r="E11">
        <v>0.50771699999999997</v>
      </c>
      <c r="F11">
        <v>0.50912199999999996</v>
      </c>
      <c r="G11">
        <v>0.51061800000000002</v>
      </c>
      <c r="H11">
        <v>0.50675000000000003</v>
      </c>
      <c r="I11">
        <v>0.51524499999999995</v>
      </c>
      <c r="J11">
        <v>0.50958400000000004</v>
      </c>
      <c r="K11">
        <v>0.513733</v>
      </c>
      <c r="L11">
        <v>0.51149299999999998</v>
      </c>
      <c r="M11">
        <v>0.50056299999999998</v>
      </c>
      <c r="N11">
        <v>0.50880000000000003</v>
      </c>
      <c r="O11">
        <f>AVERAGE(D11:N11)</f>
        <v>0.50936250000000005</v>
      </c>
      <c r="P11" s="1"/>
      <c r="Q11">
        <f>(('Mode 0'!O3)/(O11))</f>
        <v>3.6382707796510343</v>
      </c>
      <c r="R11">
        <f>_xlfn.PERCENTOF(Q11,C11)*100</f>
        <v>90.956769491275864</v>
      </c>
      <c r="S11" s="1"/>
    </row>
    <row r="12" spans="1:19" x14ac:dyDescent="0.25">
      <c r="A12">
        <v>2048</v>
      </c>
      <c r="B12">
        <v>4</v>
      </c>
      <c r="C12">
        <v>4</v>
      </c>
      <c r="E12">
        <v>10.896129</v>
      </c>
      <c r="F12">
        <v>11.277920999999999</v>
      </c>
      <c r="G12">
        <v>10.987100999999999</v>
      </c>
      <c r="H12">
        <v>10.876581</v>
      </c>
      <c r="I12">
        <v>10.860759</v>
      </c>
      <c r="J12">
        <v>11.265751</v>
      </c>
      <c r="K12">
        <v>11.143477000000001</v>
      </c>
      <c r="L12">
        <v>11.404076</v>
      </c>
      <c r="M12">
        <v>11.121370000000001</v>
      </c>
      <c r="N12">
        <v>12.058928</v>
      </c>
      <c r="O12">
        <f>AVERAGE(D12:N12)</f>
        <v>11.1892093</v>
      </c>
      <c r="P12" s="1"/>
      <c r="Q12">
        <f>(('Mode 0'!O4)/(O12))</f>
        <v>4.2683312930789485</v>
      </c>
      <c r="R12">
        <f>_xlfn.PERCENTOF(Q12,C12)*100</f>
        <v>106.70828232697372</v>
      </c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>
        <v>512</v>
      </c>
      <c r="B14">
        <v>4</v>
      </c>
      <c r="C14">
        <v>8</v>
      </c>
      <c r="E14">
        <v>3.4146000000000003E-2</v>
      </c>
      <c r="F14">
        <v>3.3567E-2</v>
      </c>
      <c r="G14">
        <v>3.5279999999999999E-2</v>
      </c>
      <c r="H14">
        <v>3.4516999999999999E-2</v>
      </c>
      <c r="I14">
        <v>3.6205000000000001E-2</v>
      </c>
      <c r="J14">
        <v>3.5893000000000001E-2</v>
      </c>
      <c r="K14">
        <v>3.4035999999999997E-2</v>
      </c>
      <c r="L14">
        <v>3.3752999999999998E-2</v>
      </c>
      <c r="M14">
        <v>3.3424000000000002E-2</v>
      </c>
      <c r="N14">
        <v>3.7769999999999998E-2</v>
      </c>
      <c r="O14">
        <f>AVERAGE(D14:N14)</f>
        <v>3.4859099999999997E-2</v>
      </c>
      <c r="P14" s="1"/>
      <c r="Q14">
        <f>(('Mode 0'!O2)/(O14))</f>
        <v>6.6237424374123268</v>
      </c>
      <c r="R14">
        <f>_xlfn.PERCENTOF(Q14,C14)*100</f>
        <v>82.796780467654088</v>
      </c>
      <c r="S14" s="1"/>
    </row>
    <row r="15" spans="1:19" x14ac:dyDescent="0.25">
      <c r="A15">
        <v>1024</v>
      </c>
      <c r="B15">
        <v>4</v>
      </c>
      <c r="C15">
        <v>8</v>
      </c>
      <c r="E15">
        <v>0.27840999999999999</v>
      </c>
      <c r="F15">
        <v>0.26630300000000001</v>
      </c>
      <c r="G15">
        <v>0.271173</v>
      </c>
      <c r="H15">
        <v>0.271592</v>
      </c>
      <c r="I15">
        <v>0.27304400000000001</v>
      </c>
      <c r="J15">
        <v>0.27196199999999998</v>
      </c>
      <c r="K15">
        <v>0.26953300000000002</v>
      </c>
      <c r="L15">
        <v>0.26454</v>
      </c>
      <c r="M15">
        <v>0.26943600000000001</v>
      </c>
      <c r="N15">
        <v>0.27012399999999998</v>
      </c>
      <c r="O15">
        <f>AVERAGE(D15:N15)</f>
        <v>0.27061170000000001</v>
      </c>
      <c r="P15" s="1"/>
      <c r="Q15">
        <f>(('Mode 0'!O3)/(O15))</f>
        <v>6.8481839477007096</v>
      </c>
      <c r="R15">
        <f>_xlfn.PERCENTOF(Q15,C15)*100</f>
        <v>85.602299346258874</v>
      </c>
      <c r="S15" s="1"/>
    </row>
    <row r="16" spans="1:19" x14ac:dyDescent="0.25">
      <c r="A16">
        <v>2048</v>
      </c>
      <c r="B16">
        <v>4</v>
      </c>
      <c r="C16">
        <v>8</v>
      </c>
      <c r="E16">
        <v>5.2972390000000003</v>
      </c>
      <c r="F16">
        <v>5.2368639999999997</v>
      </c>
      <c r="G16">
        <v>5.3015100000000004</v>
      </c>
      <c r="H16">
        <v>5.2469760000000001</v>
      </c>
      <c r="I16">
        <v>5.0659960000000002</v>
      </c>
      <c r="J16">
        <v>5.6913840000000002</v>
      </c>
      <c r="K16">
        <v>5.0996309999999996</v>
      </c>
      <c r="L16">
        <v>5.3938259999999998</v>
      </c>
      <c r="M16">
        <v>5.5589599999999999</v>
      </c>
      <c r="N16">
        <v>5.2071420000000002</v>
      </c>
      <c r="O16">
        <f>AVERAGE(D16:N16)</f>
        <v>5.3099527999999996</v>
      </c>
      <c r="P16" s="1"/>
      <c r="Q16">
        <f>(('Mode 0'!O4)/(O16))</f>
        <v>8.9942894030997778</v>
      </c>
      <c r="R16">
        <f>_xlfn.PERCENTOF(Q16,C16)*100</f>
        <v>112.42861753874722</v>
      </c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>
        <v>512</v>
      </c>
      <c r="B18">
        <v>4</v>
      </c>
      <c r="C18">
        <v>12</v>
      </c>
      <c r="E18">
        <v>2.5950999999999998E-2</v>
      </c>
      <c r="F18">
        <v>2.5565999999999998E-2</v>
      </c>
      <c r="G18">
        <v>2.6238999999999998E-2</v>
      </c>
      <c r="H18">
        <v>2.5744E-2</v>
      </c>
      <c r="I18">
        <v>2.7331000000000001E-2</v>
      </c>
      <c r="J18">
        <v>2.5527000000000001E-2</v>
      </c>
      <c r="K18">
        <v>2.588E-2</v>
      </c>
      <c r="L18">
        <v>2.5021000000000002E-2</v>
      </c>
      <c r="M18">
        <v>2.5531999999999999E-2</v>
      </c>
      <c r="N18">
        <v>2.5367000000000001E-2</v>
      </c>
      <c r="O18">
        <f>AVERAGE(D18:N18)</f>
        <v>2.58158E-2</v>
      </c>
      <c r="P18" s="1"/>
      <c r="Q18">
        <f>(('Mode 0'!O2)/(O18))</f>
        <v>8.9440458943747636</v>
      </c>
      <c r="R18">
        <f>_xlfn.PERCENTOF(Q18,C18)*100</f>
        <v>74.533715786456369</v>
      </c>
      <c r="S18" s="1"/>
    </row>
    <row r="19" spans="1:19" x14ac:dyDescent="0.25">
      <c r="A19">
        <v>1024</v>
      </c>
      <c r="B19">
        <v>4</v>
      </c>
      <c r="C19">
        <v>12</v>
      </c>
      <c r="E19">
        <v>0.23438400000000001</v>
      </c>
      <c r="F19">
        <v>0.24127799999999999</v>
      </c>
      <c r="G19">
        <v>0.236763</v>
      </c>
      <c r="H19">
        <v>0.23579</v>
      </c>
      <c r="I19">
        <v>0.23921400000000001</v>
      </c>
      <c r="J19">
        <v>0.24050199999999999</v>
      </c>
      <c r="K19">
        <v>0.24301200000000001</v>
      </c>
      <c r="L19">
        <v>0.24068999999999999</v>
      </c>
      <c r="M19">
        <v>0.24065900000000001</v>
      </c>
      <c r="N19">
        <v>0.238038</v>
      </c>
      <c r="O19">
        <f>AVERAGE(D19:N19)</f>
        <v>0.239033</v>
      </c>
      <c r="P19" s="1"/>
      <c r="Q19">
        <f>(('Mode 0'!O3)/(O19))</f>
        <v>7.7528989721084542</v>
      </c>
      <c r="R19">
        <f>_xlfn.PERCENTOF(Q19,C19)*100</f>
        <v>64.607491434237119</v>
      </c>
      <c r="S19" s="1"/>
    </row>
    <row r="20" spans="1:19" x14ac:dyDescent="0.25">
      <c r="A20">
        <v>2048</v>
      </c>
      <c r="B20">
        <v>4</v>
      </c>
      <c r="C20">
        <v>12</v>
      </c>
      <c r="E20">
        <v>4.6938610000000001</v>
      </c>
      <c r="F20">
        <v>4.7124579999999998</v>
      </c>
      <c r="G20">
        <v>4.5631539999999999</v>
      </c>
      <c r="H20">
        <v>4.5541359999999997</v>
      </c>
      <c r="I20">
        <v>4.3221889999999998</v>
      </c>
      <c r="J20">
        <v>4.4689120000000004</v>
      </c>
      <c r="K20">
        <v>4.3984030000000001</v>
      </c>
      <c r="L20">
        <v>4.333107</v>
      </c>
      <c r="M20">
        <v>4.3992880000000003</v>
      </c>
      <c r="N20">
        <v>4.501684</v>
      </c>
      <c r="O20">
        <f>AVERAGE(D20:N20)</f>
        <v>4.4947191999999996</v>
      </c>
      <c r="P20" s="1"/>
      <c r="Q20">
        <f>(('Mode 0'!O4)/(O20))</f>
        <v>10.625636458001647</v>
      </c>
      <c r="R20">
        <f>_xlfn.PERCENTOF(Q20,C20)*100</f>
        <v>88.546970483347067</v>
      </c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>
        <v>512</v>
      </c>
      <c r="B22">
        <v>4</v>
      </c>
      <c r="C22">
        <v>16</v>
      </c>
      <c r="E22">
        <v>1.9115E-2</v>
      </c>
      <c r="F22">
        <v>1.9137000000000001E-2</v>
      </c>
      <c r="G22">
        <v>2.0083E-2</v>
      </c>
      <c r="H22">
        <v>1.9536000000000001E-2</v>
      </c>
      <c r="I22">
        <v>2.0066000000000001E-2</v>
      </c>
      <c r="J22">
        <v>1.9946999999999999E-2</v>
      </c>
      <c r="K22">
        <v>2.0261000000000001E-2</v>
      </c>
      <c r="L22">
        <v>2.0456999999999999E-2</v>
      </c>
      <c r="M22">
        <v>1.9591999999999998E-2</v>
      </c>
      <c r="N22">
        <v>1.9355000000000001E-2</v>
      </c>
      <c r="O22">
        <f>AVERAGE(D22:N22)</f>
        <v>1.9754899999999999E-2</v>
      </c>
      <c r="P22" s="1"/>
      <c r="Q22">
        <f>(('Mode 0'!O2)/(O22))</f>
        <v>11.688122946711957</v>
      </c>
      <c r="R22">
        <f>_xlfn.PERCENTOF(Q22,C22)*100</f>
        <v>73.050768416949722</v>
      </c>
      <c r="S22" s="1"/>
    </row>
    <row r="23" spans="1:19" x14ac:dyDescent="0.25">
      <c r="A23">
        <v>1024</v>
      </c>
      <c r="B23">
        <v>4</v>
      </c>
      <c r="C23">
        <v>16</v>
      </c>
      <c r="E23">
        <v>0.180511</v>
      </c>
      <c r="F23">
        <v>0.18356600000000001</v>
      </c>
      <c r="G23">
        <v>0.17866000000000001</v>
      </c>
      <c r="H23">
        <v>0.216359</v>
      </c>
      <c r="I23">
        <v>0.18712999999999999</v>
      </c>
      <c r="J23">
        <v>0.20882600000000001</v>
      </c>
      <c r="K23">
        <v>0.20479900000000001</v>
      </c>
      <c r="L23">
        <v>0.18801599999999999</v>
      </c>
      <c r="M23">
        <v>0.19206999999999999</v>
      </c>
      <c r="N23">
        <v>0.19703100000000001</v>
      </c>
      <c r="O23">
        <f>AVERAGE(D23:N23)</f>
        <v>0.19369679999999997</v>
      </c>
      <c r="P23" s="1"/>
      <c r="Q23">
        <f>(('Mode 0'!O3)/(O23))</f>
        <v>9.5675235729242836</v>
      </c>
      <c r="R23">
        <f>_xlfn.PERCENTOF(Q23,C23)*100</f>
        <v>59.79702233077677</v>
      </c>
      <c r="S23" s="1"/>
    </row>
    <row r="24" spans="1:19" x14ac:dyDescent="0.25">
      <c r="A24">
        <v>2048</v>
      </c>
      <c r="B24">
        <v>4</v>
      </c>
      <c r="C24">
        <v>16</v>
      </c>
      <c r="E24">
        <v>3.7275420000000001</v>
      </c>
      <c r="F24">
        <v>3.706658</v>
      </c>
      <c r="G24">
        <v>4.0613619999999999</v>
      </c>
      <c r="H24">
        <v>3.6566100000000001</v>
      </c>
      <c r="I24">
        <v>3.7264750000000002</v>
      </c>
      <c r="J24">
        <v>3.7447010000000001</v>
      </c>
      <c r="K24">
        <v>3.6937199999999999</v>
      </c>
      <c r="L24">
        <v>4.0564869999999997</v>
      </c>
      <c r="M24">
        <v>4.4675510000000003</v>
      </c>
      <c r="N24">
        <v>3.7062550000000001</v>
      </c>
      <c r="O24">
        <f>AVERAGE(D24:N24)</f>
        <v>3.8547360999999993</v>
      </c>
      <c r="P24" s="1"/>
      <c r="Q24">
        <f>(('Mode 0'!O4)/(O24))</f>
        <v>12.389759236695866</v>
      </c>
      <c r="R24">
        <f>_xlfn.PERCENTOF(Q24,C24)*100</f>
        <v>77.43599522934916</v>
      </c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>
        <v>512</v>
      </c>
      <c r="B26">
        <v>4</v>
      </c>
      <c r="C26">
        <v>20</v>
      </c>
      <c r="E26">
        <v>1.6666E-2</v>
      </c>
      <c r="F26">
        <v>1.6677000000000001E-2</v>
      </c>
      <c r="G26">
        <v>2.1676000000000001E-2</v>
      </c>
      <c r="H26">
        <v>1.9133000000000001E-2</v>
      </c>
      <c r="I26">
        <v>2.1543E-2</v>
      </c>
      <c r="J26">
        <v>2.3782999999999999E-2</v>
      </c>
      <c r="K26">
        <v>1.6441999999999998E-2</v>
      </c>
      <c r="L26">
        <v>1.9685000000000001E-2</v>
      </c>
      <c r="M26">
        <v>1.6091000000000001E-2</v>
      </c>
      <c r="N26">
        <v>1.7006E-2</v>
      </c>
      <c r="O26">
        <f>AVERAGE(D26:N26)</f>
        <v>1.8870199999999997E-2</v>
      </c>
      <c r="P26" s="1"/>
      <c r="Q26">
        <f>(('Mode 0'!O2)/(O26))</f>
        <v>12.236102426047422</v>
      </c>
      <c r="R26">
        <f>_xlfn.PERCENTOF(Q26,C26)*100</f>
        <v>61.180512130237105</v>
      </c>
      <c r="S26" s="1"/>
    </row>
    <row r="27" spans="1:19" x14ac:dyDescent="0.25">
      <c r="A27">
        <v>1024</v>
      </c>
      <c r="B27">
        <v>4</v>
      </c>
      <c r="C27">
        <v>20</v>
      </c>
      <c r="E27">
        <v>0.222992</v>
      </c>
      <c r="F27">
        <v>0.18016599999999999</v>
      </c>
      <c r="G27">
        <v>0.18490899999999999</v>
      </c>
      <c r="H27">
        <v>0.19204199999999999</v>
      </c>
      <c r="I27">
        <v>0.17286699999999999</v>
      </c>
      <c r="J27">
        <v>0.178979</v>
      </c>
      <c r="K27">
        <v>0.209534</v>
      </c>
      <c r="L27">
        <v>0.18105499999999999</v>
      </c>
      <c r="M27">
        <v>0.18678600000000001</v>
      </c>
      <c r="N27">
        <v>0.17873600000000001</v>
      </c>
      <c r="O27">
        <f>AVERAGE(D27:N27)</f>
        <v>0.18880659999999999</v>
      </c>
      <c r="P27" s="1"/>
      <c r="Q27">
        <f>(('Mode 0'!O3)/(O27))</f>
        <v>9.8153279599336045</v>
      </c>
      <c r="R27">
        <f>_xlfn.PERCENTOF(Q27,C27)*100</f>
        <v>49.076639799668023</v>
      </c>
      <c r="S27" s="1"/>
    </row>
    <row r="28" spans="1:19" x14ac:dyDescent="0.25">
      <c r="A28">
        <v>2048</v>
      </c>
      <c r="B28">
        <v>4</v>
      </c>
      <c r="C28">
        <v>20</v>
      </c>
      <c r="E28">
        <v>3.8654920000000002</v>
      </c>
      <c r="F28">
        <v>3.993163</v>
      </c>
      <c r="G28">
        <v>3.835642</v>
      </c>
      <c r="H28">
        <v>4.0194049999999999</v>
      </c>
      <c r="I28">
        <v>3.6948560000000001</v>
      </c>
      <c r="J28">
        <v>3.7347450000000002</v>
      </c>
      <c r="K28">
        <v>4.2798290000000003</v>
      </c>
      <c r="L28">
        <v>3.8638509999999999</v>
      </c>
      <c r="M28">
        <v>4.2768389999999998</v>
      </c>
      <c r="N28">
        <v>4.1113090000000003</v>
      </c>
      <c r="O28">
        <f>AVERAGE(D28:N28)</f>
        <v>3.9675131000000001</v>
      </c>
      <c r="P28" s="1"/>
      <c r="Q28">
        <f>(('Mode 0'!O4)/(O28))</f>
        <v>12.037578955945978</v>
      </c>
      <c r="R28">
        <f>_xlfn.PERCENTOF(Q28,C28)*100</f>
        <v>60.187894779729888</v>
      </c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B4BF-31D9-4806-B0B5-05F5F47661F1}">
  <dimension ref="A1:S5"/>
  <sheetViews>
    <sheetView workbookViewId="0">
      <selection activeCell="T1" sqref="T1"/>
    </sheetView>
  </sheetViews>
  <sheetFormatPr defaultRowHeight="15" x14ac:dyDescent="0.25"/>
  <cols>
    <col min="15" max="15" width="12.28515625" customWidth="1"/>
    <col min="18" max="18" width="13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/>
      <c r="Q1" t="s">
        <v>4</v>
      </c>
      <c r="R1" t="s">
        <v>32</v>
      </c>
      <c r="S1" s="1"/>
    </row>
    <row r="2" spans="1:19" x14ac:dyDescent="0.25">
      <c r="A2">
        <v>512</v>
      </c>
      <c r="B2">
        <v>5</v>
      </c>
      <c r="C2">
        <v>1</v>
      </c>
      <c r="E2">
        <v>0.226772</v>
      </c>
      <c r="F2">
        <v>0.225747</v>
      </c>
      <c r="G2">
        <v>0.22045999999999999</v>
      </c>
      <c r="H2">
        <v>0.22628699999999999</v>
      </c>
      <c r="I2">
        <v>0.22950000000000001</v>
      </c>
      <c r="J2">
        <v>0.223387</v>
      </c>
      <c r="K2">
        <v>0.227184</v>
      </c>
      <c r="L2">
        <v>0.23297699999999999</v>
      </c>
      <c r="M2">
        <v>0.230629</v>
      </c>
      <c r="N2">
        <v>0.23200899999999999</v>
      </c>
      <c r="O2">
        <f>AVERAGE(D2:N2)</f>
        <v>0.22749520000000004</v>
      </c>
      <c r="P2" s="1"/>
      <c r="Q2">
        <f>(('Mode 0'!O2)/(O2))</f>
        <v>1.014956359518794</v>
      </c>
      <c r="R2">
        <f>_xlfn.PERCENTOF(Q2,C2)*100</f>
        <v>101.49563595187941</v>
      </c>
      <c r="S2" s="1"/>
    </row>
    <row r="3" spans="1:19" x14ac:dyDescent="0.25">
      <c r="A3">
        <v>1024</v>
      </c>
      <c r="B3">
        <v>5</v>
      </c>
      <c r="C3">
        <v>1</v>
      </c>
      <c r="E3">
        <v>1.8669359999999999</v>
      </c>
      <c r="F3">
        <v>1.868509</v>
      </c>
      <c r="G3">
        <v>1.840687</v>
      </c>
      <c r="H3">
        <v>1.833431</v>
      </c>
      <c r="I3">
        <v>1.870625</v>
      </c>
      <c r="J3">
        <v>1.8363229999999999</v>
      </c>
      <c r="K3">
        <v>1.870044</v>
      </c>
      <c r="L3">
        <v>1.873831</v>
      </c>
      <c r="M3">
        <v>1.8842829999999999</v>
      </c>
      <c r="N3">
        <v>1.933189</v>
      </c>
      <c r="O3">
        <f>AVERAGE(D3:N3)</f>
        <v>1.8677857999999996</v>
      </c>
      <c r="P3" s="1"/>
      <c r="Q3">
        <f>(('Mode 0'!O3)/(O3))</f>
        <v>0.9921901644182114</v>
      </c>
      <c r="R3">
        <f>_xlfn.PERCENTOF(Q3,C3)*100</f>
        <v>99.21901644182114</v>
      </c>
      <c r="S3" s="1"/>
    </row>
    <row r="4" spans="1:19" x14ac:dyDescent="0.25">
      <c r="A4">
        <v>2048</v>
      </c>
      <c r="B4">
        <v>5</v>
      </c>
      <c r="C4">
        <v>1</v>
      </c>
      <c r="E4">
        <v>48.116159000000003</v>
      </c>
      <c r="F4">
        <v>46.223405</v>
      </c>
      <c r="G4">
        <v>48.975897000000003</v>
      </c>
      <c r="H4">
        <v>49.197111</v>
      </c>
      <c r="I4">
        <v>45.81391</v>
      </c>
      <c r="J4">
        <v>48.081178999999999</v>
      </c>
      <c r="K4">
        <v>46.632036999999997</v>
      </c>
      <c r="L4">
        <v>48.314695</v>
      </c>
      <c r="M4">
        <v>47.170997</v>
      </c>
      <c r="N4">
        <v>48.325132000000004</v>
      </c>
      <c r="O4">
        <f>AVERAGE(D4:N4)</f>
        <v>47.685052200000008</v>
      </c>
      <c r="P4" s="1"/>
      <c r="Q4">
        <f>(('Mode 0'!O4)/(O4))</f>
        <v>1.0015560431744686</v>
      </c>
      <c r="R4">
        <f>_xlfn.PERCENTOF(Q4,C4)*100</f>
        <v>100.15560431744686</v>
      </c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EB3C0-464F-4572-94F8-64CA42689BFE}">
  <dimension ref="A1:S29"/>
  <sheetViews>
    <sheetView topLeftCell="E1" workbookViewId="0">
      <selection activeCell="Q16" sqref="Q16"/>
    </sheetView>
  </sheetViews>
  <sheetFormatPr defaultRowHeight="15" x14ac:dyDescent="0.25"/>
  <cols>
    <col min="8" max="8" width="10" bestFit="1" customWidth="1"/>
    <col min="15" max="15" width="12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s="1"/>
      <c r="Q1" t="s">
        <v>4</v>
      </c>
      <c r="R1" t="s">
        <v>32</v>
      </c>
      <c r="S1" s="1"/>
    </row>
    <row r="2" spans="1:19" x14ac:dyDescent="0.25">
      <c r="A2">
        <v>512</v>
      </c>
      <c r="B2">
        <v>6</v>
      </c>
      <c r="C2">
        <v>1</v>
      </c>
      <c r="E2">
        <v>0.225829</v>
      </c>
      <c r="F2">
        <v>0.224551</v>
      </c>
      <c r="G2">
        <v>0.233325</v>
      </c>
      <c r="H2">
        <v>0.22298200000000001</v>
      </c>
      <c r="I2">
        <v>0.230041</v>
      </c>
      <c r="J2">
        <v>0.22899600000000001</v>
      </c>
      <c r="K2">
        <v>0.22228700000000001</v>
      </c>
      <c r="L2">
        <v>0.227713</v>
      </c>
      <c r="M2">
        <v>0.22949600000000001</v>
      </c>
      <c r="N2">
        <v>0.22776199999999999</v>
      </c>
      <c r="O2">
        <f>AVERAGE(D2:N2)</f>
        <v>0.22729819999999998</v>
      </c>
      <c r="P2" s="1"/>
      <c r="Q2">
        <f>(('Mode 0'!O2)/(O2))</f>
        <v>1.0158360250983072</v>
      </c>
      <c r="R2">
        <f>_xlfn.PERCENTOF(Q2,C2)*100</f>
        <v>101.58360250983071</v>
      </c>
      <c r="S2" s="1"/>
    </row>
    <row r="3" spans="1:19" x14ac:dyDescent="0.25">
      <c r="A3">
        <v>1024</v>
      </c>
      <c r="B3">
        <v>6</v>
      </c>
      <c r="C3">
        <v>1</v>
      </c>
      <c r="E3">
        <v>1.84755</v>
      </c>
      <c r="F3">
        <v>1.8613759999999999</v>
      </c>
      <c r="G3">
        <v>1.838085</v>
      </c>
      <c r="H3">
        <v>1.8609439999999999</v>
      </c>
      <c r="I3">
        <v>1.8508230000000001</v>
      </c>
      <c r="J3">
        <v>1.8663970000000001</v>
      </c>
      <c r="K3">
        <v>1.844597</v>
      </c>
      <c r="L3">
        <v>1.8478190000000001</v>
      </c>
      <c r="M3">
        <v>1.8561920000000001</v>
      </c>
      <c r="N3">
        <v>1.8591</v>
      </c>
      <c r="O3">
        <f>AVERAGE(D3:N3)</f>
        <v>1.8532883000000002</v>
      </c>
      <c r="P3" s="1"/>
      <c r="Q3">
        <f>(('Mode 0'!O3)/(O3))</f>
        <v>0.99995165350150861</v>
      </c>
      <c r="R3">
        <f>_xlfn.PERCENTOF(Q3,C3)*100</f>
        <v>99.995165350150856</v>
      </c>
      <c r="S3" s="1"/>
    </row>
    <row r="4" spans="1:19" x14ac:dyDescent="0.25">
      <c r="A4">
        <v>2048</v>
      </c>
      <c r="B4">
        <v>6</v>
      </c>
      <c r="C4">
        <v>1</v>
      </c>
      <c r="E4">
        <v>47.390673999999997</v>
      </c>
      <c r="F4">
        <v>44.823467999999998</v>
      </c>
      <c r="G4">
        <v>48.037208999999997</v>
      </c>
      <c r="H4">
        <v>49.044879100000003</v>
      </c>
      <c r="I4">
        <v>47.094406999999997</v>
      </c>
      <c r="J4">
        <v>45.804589</v>
      </c>
      <c r="K4">
        <v>46.002004999999997</v>
      </c>
      <c r="L4">
        <v>48.725079999999998</v>
      </c>
      <c r="M4">
        <v>49.805202999999999</v>
      </c>
      <c r="N4">
        <v>47.443021000000002</v>
      </c>
      <c r="O4">
        <f>AVERAGE(D4:N4)</f>
        <v>47.417053510000002</v>
      </c>
      <c r="P4" s="1"/>
      <c r="Q4">
        <f>(('Mode 0'!O4)/(O4))</f>
        <v>1.0072167852000298</v>
      </c>
      <c r="R4">
        <f>_xlfn.PERCENTOF(Q4,C4)*100</f>
        <v>100.72167852000298</v>
      </c>
      <c r="S4" s="1"/>
    </row>
    <row r="5" spans="1:19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25">
      <c r="A6">
        <v>512</v>
      </c>
      <c r="B6">
        <v>6</v>
      </c>
      <c r="C6">
        <v>2</v>
      </c>
      <c r="E6">
        <v>0.12371799999999999</v>
      </c>
      <c r="F6">
        <v>0.119336</v>
      </c>
      <c r="G6">
        <v>0.122076</v>
      </c>
      <c r="H6">
        <v>0.125913</v>
      </c>
      <c r="I6">
        <v>0.124116</v>
      </c>
      <c r="J6">
        <v>0.124116</v>
      </c>
      <c r="K6">
        <v>0.120451</v>
      </c>
      <c r="L6">
        <v>0.11697200000000001</v>
      </c>
      <c r="M6">
        <v>0.124566</v>
      </c>
      <c r="N6">
        <v>0.118381</v>
      </c>
      <c r="O6">
        <f>AVERAGE(D6:N6)</f>
        <v>0.1219645</v>
      </c>
      <c r="P6" s="1"/>
      <c r="Q6">
        <f>(('Mode 0'!O2)/(O6))</f>
        <v>1.8931549754231765</v>
      </c>
      <c r="R6">
        <f>_xlfn.PERCENTOF(Q6,C6)*100</f>
        <v>94.657748771158822</v>
      </c>
      <c r="S6" s="1"/>
    </row>
    <row r="7" spans="1:19" x14ac:dyDescent="0.25">
      <c r="A7">
        <v>1024</v>
      </c>
      <c r="B7">
        <v>6</v>
      </c>
      <c r="C7">
        <v>2</v>
      </c>
      <c r="E7">
        <v>0.98575299999999999</v>
      </c>
      <c r="F7">
        <v>1.0078879999999999</v>
      </c>
      <c r="G7">
        <v>0.99789700000000003</v>
      </c>
      <c r="H7">
        <v>0.98948999999999998</v>
      </c>
      <c r="I7">
        <v>1.016419</v>
      </c>
      <c r="J7">
        <v>0.99843599999999999</v>
      </c>
      <c r="K7">
        <v>1.0149250000000001</v>
      </c>
      <c r="L7">
        <v>1.0125459999999999</v>
      </c>
      <c r="M7">
        <v>0.98558199999999996</v>
      </c>
      <c r="N7">
        <v>0.99619899999999995</v>
      </c>
      <c r="O7">
        <f>AVERAGE(D7:N7)</f>
        <v>1.0005134999999998</v>
      </c>
      <c r="P7" s="1"/>
      <c r="Q7">
        <f>(('Mode 0'!O3)/(O7))</f>
        <v>1.8522475708723574</v>
      </c>
      <c r="R7">
        <f>_xlfn.PERCENTOF(Q7,C7)*100</f>
        <v>92.612378543617865</v>
      </c>
      <c r="S7" s="1"/>
    </row>
    <row r="8" spans="1:19" x14ac:dyDescent="0.25">
      <c r="A8">
        <v>2048</v>
      </c>
      <c r="B8">
        <v>6</v>
      </c>
      <c r="C8">
        <v>2</v>
      </c>
      <c r="E8">
        <v>30.316925999999999</v>
      </c>
      <c r="F8">
        <v>28.972998</v>
      </c>
      <c r="G8">
        <v>30.024811</v>
      </c>
      <c r="H8">
        <v>29.338387999999998</v>
      </c>
      <c r="I8">
        <v>29.930357000000001</v>
      </c>
      <c r="J8">
        <v>27.433906</v>
      </c>
      <c r="K8">
        <v>30.573416999999999</v>
      </c>
      <c r="L8">
        <v>28.164259999999999</v>
      </c>
      <c r="M8">
        <v>27.874472999999998</v>
      </c>
      <c r="N8">
        <v>27.43797</v>
      </c>
      <c r="O8">
        <f>AVERAGE(D8:N8)</f>
        <v>29.006750600000004</v>
      </c>
      <c r="P8" s="1"/>
      <c r="Q8">
        <f>(('Mode 0'!O4)/(O8))</f>
        <v>1.6464874972931296</v>
      </c>
      <c r="R8">
        <f>_xlfn.PERCENTOF(Q8,C8)*100</f>
        <v>82.324374864656477</v>
      </c>
      <c r="S8" s="1"/>
    </row>
    <row r="9" spans="1:19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25">
      <c r="A10">
        <v>512</v>
      </c>
      <c r="B10">
        <v>6</v>
      </c>
      <c r="C10">
        <v>4</v>
      </c>
      <c r="E10">
        <v>6.6436999999999996E-2</v>
      </c>
      <c r="F10">
        <v>7.2618000000000002E-2</v>
      </c>
      <c r="G10">
        <v>6.9232000000000002E-2</v>
      </c>
      <c r="H10">
        <v>6.6319000000000003E-2</v>
      </c>
      <c r="I10">
        <v>7.0667999999999995E-2</v>
      </c>
      <c r="J10">
        <v>6.7995E-2</v>
      </c>
      <c r="K10">
        <v>6.4905000000000004E-2</v>
      </c>
      <c r="L10">
        <v>6.5648999999999999E-2</v>
      </c>
      <c r="M10">
        <v>6.3386999999999999E-2</v>
      </c>
      <c r="N10">
        <v>6.3903000000000001E-2</v>
      </c>
      <c r="O10">
        <f>AVERAGE(D10:N10)</f>
        <v>6.7111299999999999E-2</v>
      </c>
      <c r="P10" s="1"/>
      <c r="Q10">
        <f>(('Mode 0'!O2)/(O10))</f>
        <v>3.4405189588042551</v>
      </c>
      <c r="R10">
        <f>_xlfn.PERCENTOF(Q10,C10)*100</f>
        <v>86.012973970106373</v>
      </c>
      <c r="S10" s="1"/>
    </row>
    <row r="11" spans="1:19" x14ac:dyDescent="0.25">
      <c r="A11">
        <v>1024</v>
      </c>
      <c r="B11">
        <v>6</v>
      </c>
      <c r="C11">
        <v>4</v>
      </c>
      <c r="E11">
        <v>0.53244199999999997</v>
      </c>
      <c r="F11">
        <v>0.52948799999999996</v>
      </c>
      <c r="G11">
        <v>0.53166400000000003</v>
      </c>
      <c r="H11">
        <v>0.53061599999999998</v>
      </c>
      <c r="I11">
        <v>0.52504499999999998</v>
      </c>
      <c r="J11">
        <v>0.52339400000000003</v>
      </c>
      <c r="K11">
        <v>0.53190000000000004</v>
      </c>
      <c r="L11">
        <v>0.53052200000000005</v>
      </c>
      <c r="M11">
        <v>0.51927000000000001</v>
      </c>
      <c r="N11">
        <v>0.52773499999999995</v>
      </c>
      <c r="O11">
        <f>AVERAGE(D11:N11)</f>
        <v>0.5282076</v>
      </c>
      <c r="P11" s="1"/>
      <c r="Q11">
        <f>(('Mode 0'!O3)/(O11))</f>
        <v>3.5084665574671781</v>
      </c>
      <c r="R11">
        <f>_xlfn.PERCENTOF(Q11,C11)*100</f>
        <v>87.711663936679457</v>
      </c>
      <c r="S11" s="1"/>
    </row>
    <row r="12" spans="1:19" x14ac:dyDescent="0.25">
      <c r="A12">
        <v>2048</v>
      </c>
      <c r="B12">
        <v>6</v>
      </c>
      <c r="C12">
        <v>4</v>
      </c>
      <c r="E12">
        <v>10.400332000000001</v>
      </c>
      <c r="F12">
        <v>11.249809000000001</v>
      </c>
      <c r="G12">
        <v>10.933913</v>
      </c>
      <c r="H12">
        <v>10.952636</v>
      </c>
      <c r="I12">
        <v>10.950134</v>
      </c>
      <c r="J12">
        <v>10.938138</v>
      </c>
      <c r="K12">
        <v>11.282235999999999</v>
      </c>
      <c r="L12">
        <v>10.717108</v>
      </c>
      <c r="M12">
        <v>11.105793999999999</v>
      </c>
      <c r="N12">
        <v>10.552614999999999</v>
      </c>
      <c r="O12">
        <f>AVERAGE(D12:N12)</f>
        <v>10.9082715</v>
      </c>
      <c r="P12" s="1"/>
      <c r="Q12">
        <f>(('Mode 0'!O4)/(O12))</f>
        <v>4.378260313744482</v>
      </c>
      <c r="R12">
        <f>_xlfn.PERCENTOF(Q12,C12)*100</f>
        <v>109.45650784361204</v>
      </c>
      <c r="S12" s="1"/>
    </row>
    <row r="13" spans="1:19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5">
      <c r="A14">
        <v>512</v>
      </c>
      <c r="B14">
        <v>6</v>
      </c>
      <c r="C14">
        <v>8</v>
      </c>
      <c r="E14">
        <v>3.4812999999999997E-2</v>
      </c>
      <c r="F14">
        <v>4.5797999999999998E-2</v>
      </c>
      <c r="G14">
        <v>4.1785999999999997E-2</v>
      </c>
      <c r="H14">
        <v>5.2027999999999998E-2</v>
      </c>
      <c r="I14">
        <v>5.6383000000000003E-2</v>
      </c>
      <c r="J14">
        <v>3.9593000000000003E-2</v>
      </c>
      <c r="K14">
        <v>4.4216999999999999E-2</v>
      </c>
      <c r="L14">
        <v>4.7652E-2</v>
      </c>
      <c r="M14">
        <v>3.5227000000000001E-2</v>
      </c>
      <c r="N14">
        <v>3.814E-2</v>
      </c>
      <c r="O14">
        <f>AVERAGE(D14:N14)</f>
        <v>4.3563699999999997E-2</v>
      </c>
      <c r="P14" s="1"/>
      <c r="Q14">
        <f>(('Mode 0'!O2)/(O14))</f>
        <v>5.3002316148536517</v>
      </c>
      <c r="R14">
        <f>_xlfn.PERCENTOF(Q14,C14)*100</f>
        <v>66.252895185670653</v>
      </c>
      <c r="S14" s="1"/>
    </row>
    <row r="15" spans="1:19" x14ac:dyDescent="0.25">
      <c r="A15">
        <v>1024</v>
      </c>
      <c r="B15">
        <v>6</v>
      </c>
      <c r="C15">
        <v>8</v>
      </c>
      <c r="E15">
        <v>0.27953099999999997</v>
      </c>
      <c r="F15">
        <v>0.27447100000000002</v>
      </c>
      <c r="G15">
        <v>0.27835399999999999</v>
      </c>
      <c r="H15">
        <v>0.28954200000000002</v>
      </c>
      <c r="I15">
        <v>0.28048200000000001</v>
      </c>
      <c r="J15">
        <v>0.27954499999999999</v>
      </c>
      <c r="K15">
        <v>0.283829</v>
      </c>
      <c r="L15">
        <v>0.28387499999999999</v>
      </c>
      <c r="M15">
        <v>0.27934799999999999</v>
      </c>
      <c r="N15">
        <v>0.29115000000000002</v>
      </c>
      <c r="O15">
        <f>AVERAGE(D15:N15)</f>
        <v>0.28201270000000001</v>
      </c>
      <c r="P15" s="1"/>
      <c r="Q15">
        <f>(('Mode 0'!O3)/(O15))</f>
        <v>6.5713306528393938</v>
      </c>
      <c r="R15">
        <f>_xlfn.PERCENTOF(Q15,C15)*100</f>
        <v>82.141633160492418</v>
      </c>
      <c r="S15" s="1"/>
    </row>
    <row r="16" spans="1:19" x14ac:dyDescent="0.25">
      <c r="A16">
        <v>2048</v>
      </c>
      <c r="B16">
        <v>6</v>
      </c>
      <c r="C16">
        <v>8</v>
      </c>
      <c r="E16">
        <v>5.083056</v>
      </c>
      <c r="F16">
        <v>5.3541639999999999</v>
      </c>
      <c r="G16">
        <v>5.3082330000000004</v>
      </c>
      <c r="H16">
        <v>5.3243429999999998</v>
      </c>
      <c r="I16">
        <v>5.1525020000000001</v>
      </c>
      <c r="J16">
        <v>4.9627610000000004</v>
      </c>
      <c r="K16">
        <v>5.1132809999999997</v>
      </c>
      <c r="L16">
        <v>5.2522099999999998</v>
      </c>
      <c r="M16">
        <v>6.5096610000000004</v>
      </c>
      <c r="N16">
        <v>5.4651909999999999</v>
      </c>
      <c r="O16">
        <f>AVERAGE(D16:N16)</f>
        <v>5.3525402</v>
      </c>
      <c r="P16" s="1"/>
      <c r="Q16">
        <f>(('Mode 0'!O4)/(O16))</f>
        <v>8.9227264841467218</v>
      </c>
      <c r="R16">
        <f>_xlfn.PERCENTOF(Q16,C16)*100</f>
        <v>111.53408105183402</v>
      </c>
      <c r="S16" s="1"/>
    </row>
    <row r="17" spans="1:19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5">
      <c r="A18">
        <v>512</v>
      </c>
      <c r="B18">
        <v>6</v>
      </c>
      <c r="C18">
        <v>12</v>
      </c>
      <c r="E18">
        <v>3.0231000000000001E-2</v>
      </c>
      <c r="F18">
        <v>3.3362000000000003E-2</v>
      </c>
      <c r="G18">
        <v>2.8461E-2</v>
      </c>
      <c r="H18">
        <v>3.0974999999999999E-2</v>
      </c>
      <c r="I18">
        <v>3.3064999999999997E-2</v>
      </c>
      <c r="J18">
        <v>3.5077999999999998E-2</v>
      </c>
      <c r="K18">
        <v>3.5206000000000001E-2</v>
      </c>
      <c r="L18">
        <v>3.4174999999999997E-2</v>
      </c>
      <c r="M18">
        <v>3.2730000000000002E-2</v>
      </c>
      <c r="N18">
        <v>3.3543000000000003E-2</v>
      </c>
      <c r="O18">
        <f>AVERAGE(D18:N18)</f>
        <v>3.2682599999999999E-2</v>
      </c>
      <c r="P18" s="1"/>
      <c r="Q18">
        <f>(('Mode 0'!O2)/(O18))</f>
        <v>7.0648510216445457</v>
      </c>
      <c r="R18">
        <f>_xlfn.PERCENTOF(Q18,C18)*100</f>
        <v>58.873758513704544</v>
      </c>
      <c r="S18" s="1"/>
    </row>
    <row r="19" spans="1:19" x14ac:dyDescent="0.25">
      <c r="A19">
        <v>1024</v>
      </c>
      <c r="B19">
        <v>6</v>
      </c>
      <c r="C19">
        <v>12</v>
      </c>
      <c r="E19">
        <v>0.30493399999999998</v>
      </c>
      <c r="F19">
        <v>0.30070799999999998</v>
      </c>
      <c r="G19">
        <v>0.30424800000000002</v>
      </c>
      <c r="H19">
        <v>0.31533899999999998</v>
      </c>
      <c r="I19">
        <v>0.30061900000000003</v>
      </c>
      <c r="J19">
        <v>0.29714000000000002</v>
      </c>
      <c r="K19">
        <v>0.30512800000000001</v>
      </c>
      <c r="L19">
        <v>0.31301800000000002</v>
      </c>
      <c r="M19">
        <v>0.29579800000000001</v>
      </c>
      <c r="N19">
        <v>0.30673299999999998</v>
      </c>
      <c r="O19">
        <f>AVERAGE(D19:N19)</f>
        <v>0.30436649999999998</v>
      </c>
      <c r="P19" s="1"/>
      <c r="Q19">
        <f>(('Mode 0'!O3)/(O19))</f>
        <v>6.0887078571393376</v>
      </c>
      <c r="R19">
        <f>_xlfn.PERCENTOF(Q19,C19)*100</f>
        <v>50.739232142827817</v>
      </c>
      <c r="S19" s="1"/>
    </row>
    <row r="20" spans="1:19" x14ac:dyDescent="0.25">
      <c r="A20">
        <v>2048</v>
      </c>
      <c r="B20">
        <v>6</v>
      </c>
      <c r="C20">
        <v>12</v>
      </c>
      <c r="E20">
        <v>5.4201800000000002</v>
      </c>
      <c r="F20">
        <v>5.3156910000000002</v>
      </c>
      <c r="G20">
        <v>5.389907</v>
      </c>
      <c r="H20">
        <v>5.5235529999999997</v>
      </c>
      <c r="I20">
        <v>5.9551699999999999</v>
      </c>
      <c r="J20">
        <v>5.5476749999999999</v>
      </c>
      <c r="K20">
        <v>5.2221209999999996</v>
      </c>
      <c r="L20">
        <v>5.3824649999999998</v>
      </c>
      <c r="M20">
        <v>5.1808079999999999</v>
      </c>
      <c r="N20">
        <v>5.356725</v>
      </c>
      <c r="O20">
        <f>AVERAGE(D20:N20)</f>
        <v>5.4294294999999995</v>
      </c>
      <c r="P20" s="1"/>
      <c r="Q20">
        <f>(('Mode 0'!O4)/(O20))</f>
        <v>8.7963665795826245</v>
      </c>
      <c r="R20">
        <f>_xlfn.PERCENTOF(Q20,C20)*100</f>
        <v>73.303054829855213</v>
      </c>
      <c r="S20" s="1"/>
    </row>
    <row r="21" spans="1:19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5">
      <c r="A22">
        <v>512</v>
      </c>
      <c r="B22">
        <v>6</v>
      </c>
      <c r="C22">
        <v>16</v>
      </c>
      <c r="E22">
        <v>2.6863999999999999E-2</v>
      </c>
      <c r="F22">
        <v>2.1371999999999999E-2</v>
      </c>
      <c r="G22">
        <v>2.648E-2</v>
      </c>
      <c r="H22">
        <v>2.5618999999999999E-2</v>
      </c>
      <c r="I22">
        <v>2.5375999999999999E-2</v>
      </c>
      <c r="J22">
        <v>2.1190000000000001E-2</v>
      </c>
      <c r="K22">
        <v>2.3925999999999999E-2</v>
      </c>
      <c r="L22">
        <v>2.2603000000000002E-2</v>
      </c>
      <c r="M22">
        <v>2.9595E-2</v>
      </c>
      <c r="N22">
        <v>2.5874999999999999E-2</v>
      </c>
      <c r="O22">
        <f>AVERAGE(D22:N22)</f>
        <v>2.4890000000000002E-2</v>
      </c>
      <c r="P22" s="1"/>
      <c r="Q22">
        <f>(('Mode 0'!O2)/(O22))</f>
        <v>9.2767255926074732</v>
      </c>
      <c r="R22">
        <f>_xlfn.PERCENTOF(Q22,C22)*100</f>
        <v>57.979534953796708</v>
      </c>
      <c r="S22" s="1"/>
    </row>
    <row r="23" spans="1:19" x14ac:dyDescent="0.25">
      <c r="A23">
        <v>1024</v>
      </c>
      <c r="B23">
        <v>6</v>
      </c>
      <c r="C23">
        <v>16</v>
      </c>
      <c r="E23">
        <v>0.248228</v>
      </c>
      <c r="F23">
        <v>0.24609</v>
      </c>
      <c r="G23">
        <v>0.25668000000000002</v>
      </c>
      <c r="H23">
        <v>0.24449899999999999</v>
      </c>
      <c r="I23">
        <v>0.24971299999999999</v>
      </c>
      <c r="J23">
        <v>0.25171700000000002</v>
      </c>
      <c r="K23">
        <v>0.239451</v>
      </c>
      <c r="L23">
        <v>0.24764800000000001</v>
      </c>
      <c r="M23">
        <v>0.25633</v>
      </c>
      <c r="N23">
        <v>0.25167499999999998</v>
      </c>
      <c r="O23">
        <f>AVERAGE(D23:N23)</f>
        <v>0.24920310000000004</v>
      </c>
      <c r="P23" s="1"/>
      <c r="Q23">
        <f>(('Mode 0'!O3)/(O23))</f>
        <v>7.4364993854410306</v>
      </c>
      <c r="R23">
        <f>_xlfn.PERCENTOF(Q23,C23)*100</f>
        <v>46.478121159006442</v>
      </c>
      <c r="S23" s="1"/>
    </row>
    <row r="24" spans="1:19" x14ac:dyDescent="0.25">
      <c r="A24">
        <v>2048</v>
      </c>
      <c r="B24">
        <v>6</v>
      </c>
      <c r="C24">
        <v>16</v>
      </c>
      <c r="E24">
        <v>4.090776</v>
      </c>
      <c r="F24">
        <v>4.4635319999999998</v>
      </c>
      <c r="G24">
        <v>4.390244</v>
      </c>
      <c r="H24">
        <v>4.3364419999999999</v>
      </c>
      <c r="I24">
        <v>4.3322960000000004</v>
      </c>
      <c r="J24">
        <v>4.2165780000000002</v>
      </c>
      <c r="K24">
        <v>4.1922389999999998</v>
      </c>
      <c r="L24">
        <v>4.1922389999999998</v>
      </c>
      <c r="M24">
        <v>4.1804629999999996</v>
      </c>
      <c r="N24">
        <v>4.3277429999999999</v>
      </c>
      <c r="O24">
        <f>AVERAGE(D24:N24)</f>
        <v>4.2722551999999991</v>
      </c>
      <c r="P24" s="1"/>
      <c r="Q24">
        <f>(('Mode 0'!O4)/(O24))</f>
        <v>11.178932428942916</v>
      </c>
      <c r="R24">
        <f>_xlfn.PERCENTOF(Q24,C24)*100</f>
        <v>69.868327680893231</v>
      </c>
      <c r="S24" s="1"/>
    </row>
    <row r="25" spans="1:1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5">
      <c r="A26">
        <v>512</v>
      </c>
      <c r="B26">
        <v>6</v>
      </c>
      <c r="C26">
        <v>20</v>
      </c>
      <c r="E26">
        <v>1.8800999999999998E-2</v>
      </c>
      <c r="F26">
        <v>2.1401E-2</v>
      </c>
      <c r="G26">
        <v>2.7397000000000001E-2</v>
      </c>
      <c r="H26">
        <v>2.3321999999999999E-2</v>
      </c>
      <c r="I26">
        <v>2.2752999999999999E-2</v>
      </c>
      <c r="J26">
        <v>2.1940999999999999E-2</v>
      </c>
      <c r="K26">
        <v>2.1812000000000002E-2</v>
      </c>
      <c r="L26">
        <v>2.4676E-2</v>
      </c>
      <c r="M26">
        <v>2.9047E-2</v>
      </c>
      <c r="N26">
        <v>2.0511000000000001E-2</v>
      </c>
      <c r="O26">
        <f>AVERAGE(D26:N26)</f>
        <v>2.3166099999999998E-2</v>
      </c>
      <c r="P26" s="1"/>
      <c r="Q26">
        <f>(('Mode 0'!O2)/(O26))</f>
        <v>9.9670509926142081</v>
      </c>
      <c r="R26">
        <f>_xlfn.PERCENTOF(Q26,C26)*100</f>
        <v>49.835254963071037</v>
      </c>
      <c r="S26" s="1"/>
    </row>
    <row r="27" spans="1:19" x14ac:dyDescent="0.25">
      <c r="A27">
        <v>1024</v>
      </c>
      <c r="B27">
        <v>6</v>
      </c>
      <c r="C27">
        <v>20</v>
      </c>
      <c r="E27">
        <v>0.22364899999999999</v>
      </c>
      <c r="F27">
        <v>0.227433</v>
      </c>
      <c r="G27">
        <v>0.230601</v>
      </c>
      <c r="H27">
        <v>0.23084499999999999</v>
      </c>
      <c r="I27">
        <v>0.22226499999999999</v>
      </c>
      <c r="J27">
        <v>0.222779</v>
      </c>
      <c r="K27">
        <v>0.232436</v>
      </c>
      <c r="L27">
        <v>0.222224</v>
      </c>
      <c r="M27">
        <v>0.22545799999999999</v>
      </c>
      <c r="N27">
        <v>0.23238</v>
      </c>
      <c r="O27">
        <f>AVERAGE(D27:N27)</f>
        <v>0.22700700000000001</v>
      </c>
      <c r="P27" s="1"/>
      <c r="Q27">
        <f>(('Mode 0'!O3)/(O27))</f>
        <v>8.1636191835494056</v>
      </c>
      <c r="R27">
        <f>_xlfn.PERCENTOF(Q27,C27)*100</f>
        <v>40.81809591774703</v>
      </c>
      <c r="S27" s="1"/>
    </row>
    <row r="28" spans="1:19" x14ac:dyDescent="0.25">
      <c r="A28">
        <v>2048</v>
      </c>
      <c r="B28">
        <v>6</v>
      </c>
      <c r="C28">
        <v>20</v>
      </c>
      <c r="E28">
        <v>3.8477920000000001</v>
      </c>
      <c r="F28">
        <v>4.0427710000000001</v>
      </c>
      <c r="G28">
        <v>3.7328779999999999</v>
      </c>
      <c r="H28">
        <v>3.674099</v>
      </c>
      <c r="I28">
        <v>3.7877939999999999</v>
      </c>
      <c r="J28">
        <v>3.927524</v>
      </c>
      <c r="K28">
        <v>3.866387</v>
      </c>
      <c r="L28">
        <v>3.873891</v>
      </c>
      <c r="M28">
        <v>3.8449580000000001</v>
      </c>
      <c r="N28">
        <v>4.0829890000000004</v>
      </c>
      <c r="O28">
        <f>AVERAGE(D28:N28)</f>
        <v>3.8681083000000003</v>
      </c>
      <c r="P28" s="1"/>
      <c r="Q28">
        <f>(('Mode 0'!O4)/(O28))</f>
        <v>12.346927359815647</v>
      </c>
      <c r="R28">
        <f>_xlfn.PERCENTOF(Q28,C28)*100</f>
        <v>61.734636799078238</v>
      </c>
      <c r="S28" s="1"/>
    </row>
    <row r="29" spans="1:1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Comparison Graphs</vt:lpstr>
      <vt:lpstr>Mode 0</vt:lpstr>
      <vt:lpstr>Mode 1</vt:lpstr>
      <vt:lpstr>Mode 2</vt:lpstr>
      <vt:lpstr>Mode 3</vt:lpstr>
      <vt:lpstr>Mode 4</vt:lpstr>
      <vt:lpstr>Mode 5</vt:lpstr>
      <vt:lpstr>Mode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Mark Bourque</dc:creator>
  <cp:lastModifiedBy>Jordan Mark Bourque</cp:lastModifiedBy>
  <dcterms:created xsi:type="dcterms:W3CDTF">2026-02-26T18:36:21Z</dcterms:created>
  <dcterms:modified xsi:type="dcterms:W3CDTF">2026-03-02T23:54:45Z</dcterms:modified>
</cp:coreProperties>
</file>