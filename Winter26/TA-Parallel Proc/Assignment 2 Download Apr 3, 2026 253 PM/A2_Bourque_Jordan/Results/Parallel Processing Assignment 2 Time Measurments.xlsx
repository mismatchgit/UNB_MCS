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\Desktop\Winter 2026 Courses\Parallel Processing\Assignments\A2\Results\"/>
    </mc:Choice>
  </mc:AlternateContent>
  <xr:revisionPtr revIDLastSave="0" documentId="13_ncr:1_{EE4E4C04-81EC-49BF-AEB4-B6D92477A952}" xr6:coauthVersionLast="47" xr6:coauthVersionMax="47" xr10:uidLastSave="{00000000-0000-0000-0000-000000000000}"/>
  <bookViews>
    <workbookView xWindow="-120" yWindow="-120" windowWidth="29040" windowHeight="15720" activeTab="2" xr2:uid="{92523B68-99DE-4663-9EB4-C99DF29C1E17}"/>
  </bookViews>
  <sheets>
    <sheet name="Mode0" sheetId="4" r:id="rId1"/>
    <sheet name="Mode 1" sheetId="12" r:id="rId2"/>
    <sheet name="Mode 2" sheetId="1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4" l="1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J3" i="12"/>
  <c r="J2" i="12"/>
  <c r="J5" i="14"/>
  <c r="J4" i="14"/>
  <c r="J3" i="14"/>
  <c r="J2" i="14"/>
  <c r="G9" i="12"/>
  <c r="G5" i="14"/>
  <c r="G4" i="14"/>
  <c r="G3" i="14"/>
  <c r="G2" i="14"/>
  <c r="F21" i="14"/>
  <c r="G21" i="14" s="1"/>
  <c r="F20" i="14"/>
  <c r="G20" i="14" s="1"/>
  <c r="F19" i="14"/>
  <c r="G19" i="14" s="1"/>
  <c r="F18" i="14"/>
  <c r="G18" i="14" s="1"/>
  <c r="F17" i="14"/>
  <c r="G17" i="14" s="1"/>
  <c r="F16" i="14"/>
  <c r="G16" i="14" s="1"/>
  <c r="F15" i="14"/>
  <c r="G15" i="14" s="1"/>
  <c r="G14" i="14"/>
  <c r="F14" i="14"/>
  <c r="G13" i="14"/>
  <c r="F13" i="14"/>
  <c r="F12" i="14"/>
  <c r="G12" i="14" s="1"/>
  <c r="F11" i="14"/>
  <c r="G11" i="14" s="1"/>
  <c r="F10" i="14"/>
  <c r="G10" i="14" s="1"/>
  <c r="F9" i="14"/>
  <c r="G9" i="14" s="1"/>
  <c r="F8" i="14"/>
  <c r="G8" i="14" s="1"/>
  <c r="G7" i="14"/>
  <c r="F7" i="14"/>
  <c r="F6" i="14"/>
  <c r="G6" i="14" s="1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8" i="12"/>
  <c r="G7" i="12"/>
  <c r="G6" i="12"/>
  <c r="G4" i="12"/>
  <c r="G5" i="12"/>
  <c r="G2" i="12"/>
  <c r="G3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G5" i="4"/>
  <c r="G4" i="4"/>
  <c r="G3" i="4"/>
  <c r="G2" i="4"/>
</calcChain>
</file>

<file path=xl/sharedStrings.xml><?xml version="1.0" encoding="utf-8"?>
<sst xmlns="http://schemas.openxmlformats.org/spreadsheetml/2006/main" count="25" uniqueCount="9">
  <si>
    <t>Speedup</t>
  </si>
  <si>
    <t>AverageTime</t>
  </si>
  <si>
    <t>Efficiency (%)</t>
  </si>
  <si>
    <t>Processes</t>
  </si>
  <si>
    <t>Tolerances</t>
  </si>
  <si>
    <t>Function</t>
  </si>
  <si>
    <t>Result</t>
  </si>
  <si>
    <t>Serial Result</t>
  </si>
  <si>
    <t>Validation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</si>
</sst>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/>
    <xf numFmtId="0" fontId="0" fillId="0" borderId="0" xfId="0" applyFill="1"/>
    <xf numFmtId="11" fontId="0" fillId="3" borderId="0" xfId="0" applyNumberFormat="1" applyFill="1" applyAlignment="1">
      <alignment horizontal="center"/>
    </xf>
    <xf numFmtId="1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accent2"/>
                </a:solidFill>
              </a:rPr>
              <a:t>Speedup VS Processes</a:t>
            </a:r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525371828521429E-2"/>
          <c:y val="7.407407407407407E-2"/>
          <c:w val="0.8964746281714786"/>
          <c:h val="0.84204505686789155"/>
        </c:manualLayout>
      </c:layout>
      <c:lineChart>
        <c:grouping val="standard"/>
        <c:varyColors val="0"/>
        <c:ser>
          <c:idx val="0"/>
          <c:order val="0"/>
          <c:tx>
            <c:v>1e-6 function 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6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  <c:pt idx="4">
                <c:v>12</c:v>
              </c:pt>
              <c:pt idx="5">
                <c:v>16</c:v>
              </c:pt>
            </c:numLit>
          </c:cat>
          <c:val>
            <c:numRef>
              <c:f>('Mode 1'!$F$2,'Mode 1'!$F$6,'Mode 1'!$F$10,'Mode 1'!$F$14,'Mode 1'!$F$18,'Mode 1'!$F$22)</c:f>
              <c:numCache>
                <c:formatCode>General</c:formatCode>
                <c:ptCount val="6"/>
                <c:pt idx="0">
                  <c:v>1</c:v>
                </c:pt>
                <c:pt idx="1">
                  <c:v>0.87563451776649737</c:v>
                </c:pt>
                <c:pt idx="2">
                  <c:v>2.0374015748031495</c:v>
                </c:pt>
                <c:pt idx="3">
                  <c:v>1.6046511627906974</c:v>
                </c:pt>
                <c:pt idx="4">
                  <c:v>2.3576309794988606</c:v>
                </c:pt>
                <c:pt idx="5">
                  <c:v>2.0576540755467194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8F-4C86-9F54-852A3F6254B0}"/>
            </c:ext>
          </c:extLst>
        </c:ser>
        <c:ser>
          <c:idx val="1"/>
          <c:order val="1"/>
          <c:tx>
            <c:v>1e-8 function 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('Mode 1'!$F$5,'Mode 1'!$F$9,'Mode 1'!$F$13,'Mode 1'!$F$17,'Mode 1'!$F$21,'Mode 1'!$F$25)</c:f>
              <c:numCache>
                <c:formatCode>General</c:formatCode>
                <c:ptCount val="6"/>
                <c:pt idx="0">
                  <c:v>1</c:v>
                </c:pt>
                <c:pt idx="1">
                  <c:v>2.573260073260073</c:v>
                </c:pt>
                <c:pt idx="2">
                  <c:v>3.5887611749680715</c:v>
                </c:pt>
                <c:pt idx="3">
                  <c:v>4.8531951640759932</c:v>
                </c:pt>
                <c:pt idx="4">
                  <c:v>5.8419958419958418</c:v>
                </c:pt>
                <c:pt idx="5">
                  <c:v>5.3934740882917467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48F-4C86-9F54-852A3F6254B0}"/>
            </c:ext>
          </c:extLst>
        </c:ser>
        <c:ser>
          <c:idx val="2"/>
          <c:order val="2"/>
          <c:tx>
            <c:v>1e-6 function 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('Mode 1'!$F$3,'Mode 1'!$F$7,'Mode 1'!$F$11,'Mode 1'!$F$15,'Mode 1'!$F$19,'Mode 1'!$F$23)</c:f>
              <c:numCache>
                <c:formatCode>General</c:formatCode>
                <c:ptCount val="6"/>
                <c:pt idx="0">
                  <c:v>1</c:v>
                </c:pt>
                <c:pt idx="1">
                  <c:v>9.5785440613026823E-2</c:v>
                </c:pt>
                <c:pt idx="2">
                  <c:v>0.25</c:v>
                </c:pt>
                <c:pt idx="3">
                  <c:v>0.14792899408284024</c:v>
                </c:pt>
                <c:pt idx="4">
                  <c:v>0.30339805825242716</c:v>
                </c:pt>
                <c:pt idx="5">
                  <c:v>0.20661157024793392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8F-4C86-9F54-852A3F6254B0}"/>
            </c:ext>
          </c:extLst>
        </c:ser>
        <c:ser>
          <c:idx val="3"/>
          <c:order val="3"/>
          <c:tx>
            <c:v>1e-8 function 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('Mode 1'!$F$4,'Mode 1'!$F$8,'Mode 1'!$F$12,'Mode 1'!$F$16,'Mode 1'!$F$20,'Mode 1'!$F$24)</c:f>
              <c:numCache>
                <c:formatCode>General</c:formatCode>
                <c:ptCount val="6"/>
                <c:pt idx="0">
                  <c:v>1</c:v>
                </c:pt>
                <c:pt idx="1">
                  <c:v>1.1790945406125168</c:v>
                </c:pt>
                <c:pt idx="2">
                  <c:v>1.5227858985382632</c:v>
                </c:pt>
                <c:pt idx="3">
                  <c:v>1.8371369294605813</c:v>
                </c:pt>
                <c:pt idx="4">
                  <c:v>2.9321192052980134</c:v>
                </c:pt>
                <c:pt idx="5">
                  <c:v>3.0067911714770799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48F-4C86-9F54-852A3F625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776351"/>
        <c:axId val="1462773951"/>
      </c:lineChart>
      <c:catAx>
        <c:axId val="146277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Processes</a:t>
                </a:r>
              </a:p>
            </c:rich>
          </c:tx>
          <c:layout>
            <c:manualLayout>
              <c:xMode val="edge"/>
              <c:yMode val="edge"/>
              <c:x val="0.47423490813648295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3951"/>
        <c:crosses val="autoZero"/>
        <c:auto val="1"/>
        <c:lblAlgn val="ctr"/>
        <c:lblOffset val="100"/>
        <c:noMultiLvlLbl val="0"/>
      </c:catAx>
      <c:valAx>
        <c:axId val="14627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07959777222826"/>
          <c:y val="0.17776777350262243"/>
          <c:w val="0.21645466903147698"/>
          <c:h val="0.28356364483161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accent2"/>
                </a:solidFill>
              </a:rPr>
              <a:t>Efficiency VS Processes</a:t>
            </a:r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525371828521429E-2"/>
          <c:y val="7.407407407407407E-2"/>
          <c:w val="0.8964746281714786"/>
          <c:h val="0.84204505686789155"/>
        </c:manualLayout>
      </c:layout>
      <c:lineChart>
        <c:grouping val="standard"/>
        <c:varyColors val="0"/>
        <c:ser>
          <c:idx val="1"/>
          <c:order val="0"/>
          <c:tx>
            <c:v>1e-8 function 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('Mode 1'!$G$5,'Mode 1'!$G$9,'Mode 1'!$G$13,'Mode 1'!$G$17,'Mode 1'!$G$21,'Mode 1'!$G$25)</c:f>
              <c:numCache>
                <c:formatCode>General</c:formatCode>
                <c:ptCount val="6"/>
                <c:pt idx="0">
                  <c:v>100</c:v>
                </c:pt>
                <c:pt idx="1">
                  <c:v>128.66300366300365</c:v>
                </c:pt>
                <c:pt idx="2">
                  <c:v>89.719029374201781</c:v>
                </c:pt>
                <c:pt idx="3">
                  <c:v>60.664939550949917</c:v>
                </c:pt>
                <c:pt idx="4">
                  <c:v>48.68329868329868</c:v>
                </c:pt>
                <c:pt idx="5">
                  <c:v>33.709213051823419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4-48BC-8889-E82A4ECF8DEA}"/>
            </c:ext>
          </c:extLst>
        </c:ser>
        <c:ser>
          <c:idx val="2"/>
          <c:order val="1"/>
          <c:tx>
            <c:v>1e-6 function 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('Mode 1'!$G$3,'Mode 1'!$G$7,'Mode 1'!$G$11,'Mode 1'!$G$15,'Mode 1'!$G$19,'Mode 1'!$G$23)</c:f>
              <c:numCache>
                <c:formatCode>General</c:formatCode>
                <c:ptCount val="6"/>
                <c:pt idx="0">
                  <c:v>100</c:v>
                </c:pt>
                <c:pt idx="1">
                  <c:v>4.7892720306513414</c:v>
                </c:pt>
                <c:pt idx="2">
                  <c:v>6.25</c:v>
                </c:pt>
                <c:pt idx="3">
                  <c:v>1.849112426035503</c:v>
                </c:pt>
                <c:pt idx="4">
                  <c:v>2.5283171521035595</c:v>
                </c:pt>
                <c:pt idx="5">
                  <c:v>1.2913223140495871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54-48BC-8889-E82A4ECF8DEA}"/>
            </c:ext>
          </c:extLst>
        </c:ser>
        <c:ser>
          <c:idx val="3"/>
          <c:order val="2"/>
          <c:tx>
            <c:v>1e-8 function 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('Mode 1'!$G$4,'Mode 1'!$G$8,'Mode 1'!$G$12,'Mode 1'!$G$16,'Mode 1'!$G$20,'Mode 1'!$G$24)</c:f>
              <c:numCache>
                <c:formatCode>General</c:formatCode>
                <c:ptCount val="6"/>
                <c:pt idx="0">
                  <c:v>100</c:v>
                </c:pt>
                <c:pt idx="1">
                  <c:v>58.95472703062584</c:v>
                </c:pt>
                <c:pt idx="2">
                  <c:v>38.069647463456576</c:v>
                </c:pt>
                <c:pt idx="3">
                  <c:v>22.964211618257266</c:v>
                </c:pt>
                <c:pt idx="4">
                  <c:v>24.434326710816777</c:v>
                </c:pt>
                <c:pt idx="5">
                  <c:v>18.792444821731749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54-48BC-8889-E82A4ECF8DEA}"/>
            </c:ext>
          </c:extLst>
        </c:ser>
        <c:ser>
          <c:idx val="0"/>
          <c:order val="3"/>
          <c:tx>
            <c:v>1e-6 function 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('Mode 1'!$G$2,'Mode 1'!$G$6,'Mode 1'!$G$10,'Mode 1'!$G$14,'Mode 1'!$G$18,'Mode 1'!$G$22)</c:f>
              <c:numCache>
                <c:formatCode>General</c:formatCode>
                <c:ptCount val="6"/>
                <c:pt idx="0">
                  <c:v>100</c:v>
                </c:pt>
                <c:pt idx="1">
                  <c:v>43.781725888324871</c:v>
                </c:pt>
                <c:pt idx="2">
                  <c:v>50.935039370078741</c:v>
                </c:pt>
                <c:pt idx="3">
                  <c:v>20.058139534883718</c:v>
                </c:pt>
                <c:pt idx="4">
                  <c:v>19.646924829157172</c:v>
                </c:pt>
                <c:pt idx="5">
                  <c:v>12.860337972166997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54-48BC-8889-E82A4ECF8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776351"/>
        <c:axId val="1462773951"/>
      </c:lineChart>
      <c:catAx>
        <c:axId val="146277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Processes</a:t>
                </a:r>
              </a:p>
            </c:rich>
          </c:tx>
          <c:layout>
            <c:manualLayout>
              <c:xMode val="edge"/>
              <c:yMode val="edge"/>
              <c:x val="0.47423490813648295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3951"/>
        <c:crosses val="autoZero"/>
        <c:auto val="1"/>
        <c:lblAlgn val="ctr"/>
        <c:lblOffset val="100"/>
        <c:noMultiLvlLbl val="0"/>
      </c:catAx>
      <c:valAx>
        <c:axId val="14627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186029938599716"/>
          <c:y val="0.20717416788834964"/>
          <c:w val="0.20127170050950727"/>
          <c:h val="0.28356364483161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accent2"/>
                </a:solidFill>
              </a:rPr>
              <a:t>Speedup VS Processes</a:t>
            </a:r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525371828521429E-2"/>
          <c:y val="7.407407407407407E-2"/>
          <c:w val="0.8964746281714786"/>
          <c:h val="0.84204505686789155"/>
        </c:manualLayout>
      </c:layout>
      <c:lineChart>
        <c:grouping val="standard"/>
        <c:varyColors val="0"/>
        <c:ser>
          <c:idx val="0"/>
          <c:order val="0"/>
          <c:tx>
            <c:v>1e-6 function 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ptCount val="0"/>
                    </c:numCache>
                  </c16:filteredLitCache>
                </c:ext>
              </c:extLst>
              <c:f/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('Mode 2'!$F$2,'Mode 2'!$F$6,'Mode 2'!$F$10,'Mode 2'!$F$14,'Mode 2'!$F$18)</c15:sqref>
                  </c15:fullRef>
                </c:ext>
              </c:extLst>
              <c:f>('Mode 2'!$F$2,'Mode 2'!$F$6,'Mode 2'!$F$10,'Mode 2'!$F$14,'Mode 2'!$F$18)</c:f>
              <c:numCache>
                <c:formatCode>General</c:formatCode>
                <c:ptCount val="5"/>
                <c:pt idx="0">
                  <c:v>1</c:v>
                </c:pt>
                <c:pt idx="1">
                  <c:v>3.0251641137855581</c:v>
                </c:pt>
                <c:pt idx="2">
                  <c:v>2.1823204419889501</c:v>
                </c:pt>
                <c:pt idx="3">
                  <c:v>2.0603576751117734</c:v>
                </c:pt>
                <c:pt idx="4">
                  <c:v>1.5472859541130386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47-4A96-84DB-7F11EFC46AEF}"/>
            </c:ext>
          </c:extLst>
        </c:ser>
        <c:ser>
          <c:idx val="1"/>
          <c:order val="1"/>
          <c:tx>
            <c:v>1e-8 function 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ptCount val="0"/>
                    </c:numCache>
                  </c16:filteredLitCache>
                </c:ext>
              </c:extLst>
              <c:f/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('Mode 2'!$F$5,'Mode 2'!$F$9,'Mode 2'!$F$13,'Mode 2'!$F$17,'Mode 2'!$F$21)</c15:sqref>
                  </c15:fullRef>
                </c:ext>
              </c:extLst>
              <c:f>('Mode 2'!$F$5,'Mode 2'!$F$9,'Mode 2'!$F$13,'Mode 2'!$F$17,'Mode 2'!$F$21)</c:f>
              <c:numCache>
                <c:formatCode>General</c:formatCode>
                <c:ptCount val="5"/>
                <c:pt idx="0">
                  <c:v>1</c:v>
                </c:pt>
                <c:pt idx="1">
                  <c:v>1.4420094403236681</c:v>
                </c:pt>
                <c:pt idx="2">
                  <c:v>0.88716034017838619</c:v>
                </c:pt>
                <c:pt idx="3">
                  <c:v>0.94186302576524994</c:v>
                </c:pt>
                <c:pt idx="4">
                  <c:v>0.56965903036760779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47-4A96-84DB-7F11EFC46AEF}"/>
            </c:ext>
          </c:extLst>
        </c:ser>
        <c:ser>
          <c:idx val="2"/>
          <c:order val="2"/>
          <c:tx>
            <c:v>1e-6 function 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ptCount val="0"/>
                    </c:numCache>
                  </c16:filteredLitCache>
                </c:ext>
              </c:extLst>
              <c:f/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('Mode 2'!$F$3,'Mode 2'!$F$7,'Mode 2'!$F$11,'Mode 2'!$F$15,'Mode 2'!$F$19)</c15:sqref>
                  </c15:fullRef>
                </c:ext>
              </c:extLst>
              <c:f>('Mode 2'!$F$3,'Mode 2'!$F$7,'Mode 2'!$F$11,'Mode 2'!$F$15,'Mode 2'!$F$19)</c:f>
              <c:numCache>
                <c:formatCode>General</c:formatCode>
                <c:ptCount val="5"/>
                <c:pt idx="0">
                  <c:v>1</c:v>
                </c:pt>
                <c:pt idx="1">
                  <c:v>1.7675996607294318</c:v>
                </c:pt>
                <c:pt idx="2">
                  <c:v>1.4205862304021812</c:v>
                </c:pt>
                <c:pt idx="3">
                  <c:v>0.88945795988049503</c:v>
                </c:pt>
                <c:pt idx="4">
                  <c:v>0.65125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47-4A96-84DB-7F11EFC46AEF}"/>
            </c:ext>
          </c:extLst>
        </c:ser>
        <c:ser>
          <c:idx val="3"/>
          <c:order val="3"/>
          <c:tx>
            <c:v>1e-8 function 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ptCount val="0"/>
                    </c:numCache>
                  </c16:filteredLitCache>
                </c:ext>
              </c:extLst>
              <c:f/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('Mode 2'!$F$4,'Mode 2'!$F$8,'Mode 2'!$F$12,'Mode 2'!$F$16,'Mode 2'!$F$20)</c15:sqref>
                  </c15:fullRef>
                </c:ext>
              </c:extLst>
              <c:f>('Mode 2'!$F$4,'Mode 2'!$F$8,'Mode 2'!$F$12,'Mode 2'!$F$16,'Mode 2'!$F$20)</c:f>
              <c:numCache>
                <c:formatCode>General</c:formatCode>
                <c:ptCount val="5"/>
                <c:pt idx="0">
                  <c:v>1</c:v>
                </c:pt>
                <c:pt idx="1">
                  <c:v>2.5002871912693854</c:v>
                </c:pt>
                <c:pt idx="2">
                  <c:v>2.0341121495327101</c:v>
                </c:pt>
                <c:pt idx="3">
                  <c:v>1.8787224859732412</c:v>
                </c:pt>
                <c:pt idx="4">
                  <c:v>1.2334939076225557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47-4A96-84DB-7F11EFC46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776351"/>
        <c:axId val="1462773951"/>
      </c:lineChart>
      <c:catAx>
        <c:axId val="146277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Processes</a:t>
                </a:r>
              </a:p>
            </c:rich>
          </c:tx>
          <c:layout>
            <c:manualLayout>
              <c:xMode val="edge"/>
              <c:yMode val="edge"/>
              <c:x val="0.47423490813648295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3951"/>
        <c:crosses val="autoZero"/>
        <c:auto val="1"/>
        <c:lblAlgn val="ctr"/>
        <c:lblOffset val="100"/>
        <c:noMultiLvlLbl val="0"/>
      </c:catAx>
      <c:valAx>
        <c:axId val="14627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4395859442866"/>
          <c:y val="9.3749503829116107E-2"/>
          <c:w val="0.21619454679798658"/>
          <c:h val="0.283563644831619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accent2"/>
                </a:solidFill>
              </a:rPr>
              <a:t>Efficiency VS Processes</a:t>
            </a:r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525371828521429E-2"/>
          <c:y val="7.407407407407407E-2"/>
          <c:w val="0.8964746281714786"/>
          <c:h val="0.84204505686789155"/>
        </c:manualLayout>
      </c:layout>
      <c:lineChart>
        <c:grouping val="standard"/>
        <c:varyColors val="0"/>
        <c:ser>
          <c:idx val="1"/>
          <c:order val="0"/>
          <c:tx>
            <c:v>1e-8 function 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ptCount val="0"/>
                    </c:numCache>
                  </c16:filteredLitCache>
                </c:ext>
              </c:extLst>
              <c:f/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('Mode 2'!$G$5,'Mode 2'!$G$9,'Mode 2'!$G$13,'Mode 2'!$G$17,'Mode 2'!$G$21)</c15:sqref>
                  </c15:fullRef>
                </c:ext>
              </c:extLst>
              <c:f>('Mode 2'!$G$5,'Mode 2'!$G$9,'Mode 2'!$G$13,'Mode 2'!$G$17,'Mode 2'!$G$21)</c:f>
              <c:numCache>
                <c:formatCode>General</c:formatCode>
                <c:ptCount val="5"/>
                <c:pt idx="0">
                  <c:v>100</c:v>
                </c:pt>
                <c:pt idx="1">
                  <c:v>36.050236008091701</c:v>
                </c:pt>
                <c:pt idx="2">
                  <c:v>11.089504252229828</c:v>
                </c:pt>
                <c:pt idx="3">
                  <c:v>7.8488585480437498</c:v>
                </c:pt>
                <c:pt idx="4">
                  <c:v>3.5603689397975486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1-4526-B66C-0DF0D0CD342F}"/>
            </c:ext>
          </c:extLst>
        </c:ser>
        <c:ser>
          <c:idx val="2"/>
          <c:order val="1"/>
          <c:tx>
            <c:v>1e-6 function 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ptCount val="0"/>
                    </c:numCache>
                  </c16:filteredLitCache>
                </c:ext>
              </c:extLst>
              <c:f/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('Mode 2'!$G$3,'Mode 2'!$G$7,'Mode 2'!$G$11,'Mode 2'!$G$15,'Mode 2'!$G$19)</c15:sqref>
                  </c15:fullRef>
                </c:ext>
              </c:extLst>
              <c:f>('Mode 2'!$G$3,'Mode 2'!$G$7,'Mode 2'!$G$11,'Mode 2'!$G$15,'Mode 2'!$G$19)</c:f>
              <c:numCache>
                <c:formatCode>General</c:formatCode>
                <c:ptCount val="5"/>
                <c:pt idx="0">
                  <c:v>100</c:v>
                </c:pt>
                <c:pt idx="1">
                  <c:v>44.189991518235793</c:v>
                </c:pt>
                <c:pt idx="2">
                  <c:v>17.757327880027265</c:v>
                </c:pt>
                <c:pt idx="3">
                  <c:v>7.4121496656707917</c:v>
                </c:pt>
                <c:pt idx="4">
                  <c:v>4.0703125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61-4526-B66C-0DF0D0CD342F}"/>
            </c:ext>
          </c:extLst>
        </c:ser>
        <c:ser>
          <c:idx val="3"/>
          <c:order val="2"/>
          <c:tx>
            <c:v>1e-8 function 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ptCount val="0"/>
                    </c:numCache>
                  </c16:filteredLitCache>
                </c:ext>
              </c:extLst>
              <c:f/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('Mode 2'!$G$4,'Mode 2'!$G$8,'Mode 2'!$G$12,'Mode 2'!$G$16,'Mode 2'!$G$20)</c15:sqref>
                  </c15:fullRef>
                </c:ext>
              </c:extLst>
              <c:f>('Mode 2'!$G$4,'Mode 2'!$G$8,'Mode 2'!$G$12,'Mode 2'!$G$16,'Mode 2'!$G$20)</c:f>
              <c:numCache>
                <c:formatCode>General</c:formatCode>
                <c:ptCount val="5"/>
                <c:pt idx="0">
                  <c:v>100</c:v>
                </c:pt>
                <c:pt idx="1">
                  <c:v>62.507179781734635</c:v>
                </c:pt>
                <c:pt idx="2">
                  <c:v>25.426401869158877</c:v>
                </c:pt>
                <c:pt idx="3">
                  <c:v>15.656020716443678</c:v>
                </c:pt>
                <c:pt idx="4">
                  <c:v>7.7093369226409729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61-4526-B66C-0DF0D0CD342F}"/>
            </c:ext>
          </c:extLst>
        </c:ser>
        <c:ser>
          <c:idx val="0"/>
          <c:order val="3"/>
          <c:tx>
            <c:v>1e-6 function 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ptCount val="0"/>
                    </c:numCache>
                  </c16:filteredLitCache>
                </c:ext>
              </c:extLst>
              <c:f/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('Mode 2'!$G$2,'Mode 2'!$G$6,'Mode 2'!$G$10,'Mode 2'!$G$14,'Mode 2'!$G$18)</c15:sqref>
                  </c15:fullRef>
                </c:ext>
              </c:extLst>
              <c:f>('Mode 2'!$G$2,'Mode 2'!$G$6,'Mode 2'!$G$10,'Mode 2'!$G$14,'Mode 2'!$G$18)</c:f>
              <c:numCache>
                <c:formatCode>General</c:formatCode>
                <c:ptCount val="5"/>
                <c:pt idx="0">
                  <c:v>100</c:v>
                </c:pt>
                <c:pt idx="1">
                  <c:v>75.62910284463895</c:v>
                </c:pt>
                <c:pt idx="2">
                  <c:v>27.279005524861876</c:v>
                </c:pt>
                <c:pt idx="3">
                  <c:v>17.169647292598111</c:v>
                </c:pt>
                <c:pt idx="4">
                  <c:v>9.670537213206492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61-4526-B66C-0DF0D0CD3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776351"/>
        <c:axId val="1462773951"/>
      </c:lineChart>
      <c:catAx>
        <c:axId val="146277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Processes</a:t>
                </a:r>
              </a:p>
            </c:rich>
          </c:tx>
          <c:layout>
            <c:manualLayout>
              <c:xMode val="edge"/>
              <c:yMode val="edge"/>
              <c:x val="0.47423490813648295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3951"/>
        <c:crosses val="autoZero"/>
        <c:auto val="1"/>
        <c:lblAlgn val="ctr"/>
        <c:lblOffset val="100"/>
        <c:noMultiLvlLbl val="0"/>
      </c:catAx>
      <c:valAx>
        <c:axId val="14627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516723048724109"/>
          <c:y val="0.14416046563321991"/>
          <c:w val="0.21619454679798658"/>
          <c:h val="0.283563644831619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9525</xdr:rowOff>
    </xdr:from>
    <xdr:to>
      <xdr:col>4</xdr:col>
      <xdr:colOff>476251</xdr:colOff>
      <xdr:row>41</xdr:row>
      <xdr:rowOff>175177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DFA35E-CB05-495A-AEF9-EF8CCA6AF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473766</xdr:colOff>
      <xdr:row>26</xdr:row>
      <xdr:rowOff>3727</xdr:rowOff>
    </xdr:from>
    <xdr:to>
      <xdr:col>8</xdr:col>
      <xdr:colOff>416617</xdr:colOff>
      <xdr:row>41</xdr:row>
      <xdr:rowOff>169379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4EF1F7-263F-4658-AF40-B72A5FC11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22</xdr:row>
      <xdr:rowOff>0</xdr:rowOff>
    </xdr:from>
    <xdr:to>
      <xdr:col>4</xdr:col>
      <xdr:colOff>491701</xdr:colOff>
      <xdr:row>37</xdr:row>
      <xdr:rowOff>165652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913E64-932E-4398-90ED-30582FD03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485775</xdr:colOff>
      <xdr:row>21</xdr:row>
      <xdr:rowOff>180975</xdr:rowOff>
    </xdr:from>
    <xdr:to>
      <xdr:col>8</xdr:col>
      <xdr:colOff>358351</xdr:colOff>
      <xdr:row>37</xdr:row>
      <xdr:rowOff>156127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4EC968-BCAC-437E-BAAA-7DAC30A2E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/Phase3/Results/Parallel%20Processing%20Final%20Project%20Time%20Measurments.xlsx" TargetMode="External"/><Relationship Id="rId2" Type="http://schemas.openxmlformats.org/officeDocument/2006/relationships/externalLinkPath" Target="file:///C:\Users\Jordan\Desktop\Winter%202026%20Courses\Parallel%20Processing\Project\Phase3\Results\Parallel%20Processing%20Final%20Project%20Time%20Measurments.xlsx" TargetMode="External"/><Relationship Id="rId1" Type="http://schemas.openxmlformats.org/officeDocument/2006/relationships/externalLinkPath" Target="/Users/Jordan/Desktop/Winter%202026%20Courses/Parallel%20Processing/Project/Phase3/Results/Parallel%20Processing%20Final%20Project%20Time%20Measur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parison Graph"/>
      <sheetName val="Serial"/>
      <sheetName val="OpenMP"/>
      <sheetName val="MPI"/>
    </sheetNames>
    <sheetDataSet>
      <sheetData sheetId="0" refreshError="1"/>
      <sheetData sheetId="1" refreshError="1"/>
      <sheetData sheetId="2">
        <row r="2">
          <cell r="J2">
            <v>0.27318928963302341</v>
          </cell>
        </row>
        <row r="3">
          <cell r="J3">
            <v>0.52775048557221915</v>
          </cell>
        </row>
        <row r="4">
          <cell r="J4">
            <v>0.96755829064632526</v>
          </cell>
        </row>
        <row r="5">
          <cell r="J5">
            <v>1.2900520090774914</v>
          </cell>
        </row>
        <row r="6">
          <cell r="J6">
            <v>1.5480870597052625</v>
          </cell>
        </row>
        <row r="8">
          <cell r="J8">
            <v>0.28257991308935188</v>
          </cell>
        </row>
        <row r="9">
          <cell r="J9">
            <v>0.54656557344122181</v>
          </cell>
        </row>
        <row r="10">
          <cell r="J10">
            <v>1.0384723076384619</v>
          </cell>
        </row>
        <row r="11">
          <cell r="J11">
            <v>1.483556982429719</v>
          </cell>
        </row>
        <row r="12">
          <cell r="J12">
            <v>1.8060476690393332</v>
          </cell>
        </row>
        <row r="14">
          <cell r="J14">
            <v>0.30519750594254652</v>
          </cell>
        </row>
        <row r="15">
          <cell r="J15">
            <v>0.59925615244309205</v>
          </cell>
        </row>
        <row r="16">
          <cell r="J16">
            <v>1.1563121229209168</v>
          </cell>
        </row>
        <row r="17">
          <cell r="J17">
            <v>1.7847205072642718</v>
          </cell>
        </row>
        <row r="18">
          <cell r="J18">
            <v>2.2804840999580809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B26E-89B5-4FC9-B977-14BCAB444AE6}">
  <dimension ref="A1:L16"/>
  <sheetViews>
    <sheetView zoomScale="130" zoomScaleNormal="130" workbookViewId="0">
      <selection activeCell="E16" sqref="E16"/>
    </sheetView>
  </sheetViews>
  <sheetFormatPr defaultRowHeight="15" x14ac:dyDescent="0.25"/>
  <cols>
    <col min="1" max="1" width="12.7109375" customWidth="1"/>
    <col min="2" max="2" width="13.28515625" customWidth="1"/>
    <col min="3" max="3" width="20.140625" customWidth="1"/>
    <col min="4" max="5" width="20.5703125" customWidth="1"/>
    <col min="6" max="6" width="20.7109375" customWidth="1"/>
    <col min="7" max="7" width="21" customWidth="1"/>
    <col min="8" max="8" width="23.85546875" customWidth="1"/>
    <col min="9" max="9" width="12" customWidth="1"/>
    <col min="10" max="10" width="16.28515625" customWidth="1"/>
    <col min="11" max="11" width="6.28515625" customWidth="1"/>
    <col min="15" max="15" width="13.140625" customWidth="1"/>
    <col min="18" max="18" width="12.42578125" customWidth="1"/>
  </cols>
  <sheetData>
    <row r="1" spans="1:12" x14ac:dyDescent="0.25">
      <c r="A1" s="5"/>
      <c r="B1" s="1" t="s">
        <v>3</v>
      </c>
      <c r="C1" s="1" t="s">
        <v>4</v>
      </c>
      <c r="D1" s="1" t="s">
        <v>5</v>
      </c>
      <c r="E1" s="2" t="s">
        <v>1</v>
      </c>
      <c r="F1" s="3" t="s">
        <v>0</v>
      </c>
      <c r="G1" s="4" t="s">
        <v>2</v>
      </c>
      <c r="H1" s="12" t="s">
        <v>6</v>
      </c>
      <c r="I1" s="5"/>
      <c r="J1" s="11"/>
      <c r="K1" s="11"/>
      <c r="L1" s="7"/>
    </row>
    <row r="2" spans="1:12" x14ac:dyDescent="0.25">
      <c r="A2" s="5"/>
      <c r="B2" s="1">
        <v>1</v>
      </c>
      <c r="C2" s="9">
        <v>9.9999999999999995E-7</v>
      </c>
      <c r="D2" s="1">
        <v>0</v>
      </c>
      <c r="E2" s="2">
        <v>1.413E-5</v>
      </c>
      <c r="F2" s="3">
        <v>1</v>
      </c>
      <c r="G2" s="4">
        <f>F2/B2</f>
        <v>1</v>
      </c>
      <c r="H2" s="13">
        <v>0.4832177003</v>
      </c>
      <c r="I2" s="5"/>
      <c r="J2" s="11"/>
      <c r="K2" s="11"/>
      <c r="L2" s="7"/>
    </row>
    <row r="3" spans="1:12" x14ac:dyDescent="0.25">
      <c r="A3" s="5"/>
      <c r="B3" s="1">
        <v>1</v>
      </c>
      <c r="C3" s="9">
        <v>9.9999999999999995E-7</v>
      </c>
      <c r="D3" s="1">
        <v>1</v>
      </c>
      <c r="E3" s="2">
        <v>4.2429999999999999E-5</v>
      </c>
      <c r="F3" s="3">
        <v>1</v>
      </c>
      <c r="G3" s="4">
        <f>F3/B3</f>
        <v>1</v>
      </c>
      <c r="H3" s="13">
        <v>0.26779451720000003</v>
      </c>
      <c r="I3" s="5"/>
      <c r="J3" s="11"/>
      <c r="K3" s="11"/>
      <c r="L3" s="7"/>
    </row>
    <row r="4" spans="1:12" x14ac:dyDescent="0.25">
      <c r="A4" s="5"/>
      <c r="B4" s="1">
        <v>1</v>
      </c>
      <c r="C4" s="9">
        <v>1E-8</v>
      </c>
      <c r="D4" s="1">
        <v>0</v>
      </c>
      <c r="E4" s="2">
        <v>1.9199999999999998E-6</v>
      </c>
      <c r="F4" s="3">
        <v>1</v>
      </c>
      <c r="G4" s="4">
        <f>F4/B4</f>
        <v>1</v>
      </c>
      <c r="H4" s="13">
        <v>0.48321769549999999</v>
      </c>
      <c r="I4" s="5"/>
      <c r="J4" s="11"/>
      <c r="K4" s="11"/>
      <c r="L4" s="7"/>
    </row>
    <row r="5" spans="1:12" x14ac:dyDescent="0.25">
      <c r="A5" s="5"/>
      <c r="B5" s="1">
        <v>1</v>
      </c>
      <c r="C5" s="9">
        <v>1E-8</v>
      </c>
      <c r="D5" s="1">
        <v>1</v>
      </c>
      <c r="E5" s="2">
        <v>4.5199999999999999E-6</v>
      </c>
      <c r="F5" s="3">
        <v>1</v>
      </c>
      <c r="G5" s="4">
        <f>F5/B5</f>
        <v>1</v>
      </c>
      <c r="H5" s="13">
        <v>0.26779450459999998</v>
      </c>
      <c r="I5" s="5"/>
      <c r="J5" s="11"/>
      <c r="K5" s="11"/>
      <c r="L5" s="7"/>
    </row>
    <row r="6" spans="1:12" x14ac:dyDescent="0.25">
      <c r="A6" s="5"/>
      <c r="B6" s="5"/>
      <c r="C6" s="5"/>
      <c r="D6" s="5"/>
      <c r="E6" s="5"/>
      <c r="F6" s="5"/>
      <c r="G6" s="5"/>
      <c r="H6" s="5"/>
      <c r="I6" s="5"/>
      <c r="J6" s="11"/>
      <c r="K6" s="11"/>
    </row>
    <row r="7" spans="1:12" x14ac:dyDescent="0.25">
      <c r="A7" s="11"/>
      <c r="B7" s="11"/>
      <c r="C7" s="10"/>
      <c r="D7" s="11"/>
      <c r="E7" s="11"/>
      <c r="F7" s="11"/>
      <c r="G7" s="11"/>
      <c r="H7" s="11"/>
      <c r="I7" s="6"/>
    </row>
    <row r="8" spans="1:12" x14ac:dyDescent="0.25">
      <c r="A8" s="11"/>
      <c r="B8" s="11"/>
      <c r="C8" s="11"/>
      <c r="D8" s="11"/>
      <c r="E8" s="11"/>
      <c r="F8" s="11"/>
      <c r="G8" s="11"/>
      <c r="H8" s="11"/>
      <c r="I8" s="6"/>
    </row>
    <row r="9" spans="1:12" x14ac:dyDescent="0.25">
      <c r="A9" s="6"/>
      <c r="B9" s="6"/>
      <c r="C9" s="6"/>
      <c r="D9" s="6"/>
      <c r="E9" s="6"/>
      <c r="F9" s="6"/>
      <c r="G9" s="6"/>
      <c r="H9" s="6"/>
      <c r="I9" s="6"/>
    </row>
    <row r="10" spans="1:12" x14ac:dyDescent="0.25">
      <c r="A10" s="6"/>
      <c r="B10" s="6"/>
      <c r="C10" s="6"/>
      <c r="D10" s="6"/>
      <c r="E10" s="6"/>
      <c r="F10" s="6"/>
      <c r="G10" s="6"/>
      <c r="H10" s="6"/>
      <c r="I10" s="6"/>
    </row>
    <row r="11" spans="1:12" x14ac:dyDescent="0.25">
      <c r="A11" s="6"/>
      <c r="B11" s="6"/>
      <c r="C11" s="6"/>
      <c r="D11" s="6"/>
      <c r="E11" s="6"/>
      <c r="F11" s="6"/>
      <c r="G11" s="6"/>
      <c r="H11" s="6"/>
      <c r="I11" s="6"/>
    </row>
    <row r="12" spans="1:12" x14ac:dyDescent="0.25">
      <c r="A12" s="6"/>
      <c r="B12" s="6"/>
      <c r="C12" s="6"/>
      <c r="D12" s="6"/>
      <c r="E12" s="6"/>
      <c r="F12" s="6"/>
      <c r="G12" s="6"/>
      <c r="H12" s="6"/>
      <c r="I12" s="6"/>
    </row>
    <row r="13" spans="1:12" x14ac:dyDescent="0.25">
      <c r="A13" s="6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6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6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52F1-F4C8-4A2C-8685-5F99E475A47F}">
  <dimension ref="A1:M38"/>
  <sheetViews>
    <sheetView zoomScaleNormal="100" workbookViewId="0">
      <selection activeCell="J27" sqref="J27"/>
    </sheetView>
  </sheetViews>
  <sheetFormatPr defaultRowHeight="15" x14ac:dyDescent="0.25"/>
  <cols>
    <col min="1" max="1" width="12.7109375" customWidth="1"/>
    <col min="2" max="2" width="13.28515625" customWidth="1"/>
    <col min="3" max="3" width="20.140625" customWidth="1"/>
    <col min="4" max="5" width="20.5703125" customWidth="1"/>
    <col min="6" max="6" width="20.7109375" customWidth="1"/>
    <col min="7" max="7" width="21" customWidth="1"/>
    <col min="8" max="8" width="18" customWidth="1"/>
    <col min="9" max="9" width="22.85546875" customWidth="1"/>
    <col min="10" max="10" width="16.28515625" customWidth="1"/>
    <col min="11" max="11" width="16.140625" customWidth="1"/>
    <col min="13" max="13" width="17" customWidth="1"/>
    <col min="15" max="15" width="13.140625" customWidth="1"/>
    <col min="18" max="18" width="12.42578125" customWidth="1"/>
  </cols>
  <sheetData>
    <row r="1" spans="1:13" x14ac:dyDescent="0.25">
      <c r="A1" s="5"/>
      <c r="B1" s="1" t="s">
        <v>3</v>
      </c>
      <c r="C1" s="1" t="s">
        <v>4</v>
      </c>
      <c r="D1" s="1" t="s">
        <v>5</v>
      </c>
      <c r="E1" s="2" t="s">
        <v>1</v>
      </c>
      <c r="F1" s="3" t="s">
        <v>0</v>
      </c>
      <c r="G1" s="4" t="s">
        <v>2</v>
      </c>
      <c r="H1" s="12" t="s">
        <v>6</v>
      </c>
      <c r="I1" s="14" t="s">
        <v>7</v>
      </c>
      <c r="J1" s="15" t="s">
        <v>8</v>
      </c>
      <c r="K1" s="5"/>
      <c r="L1" s="11"/>
      <c r="M1" s="6"/>
    </row>
    <row r="2" spans="1:13" x14ac:dyDescent="0.25">
      <c r="A2" s="5"/>
      <c r="B2" s="1">
        <v>1</v>
      </c>
      <c r="C2" s="9">
        <v>9.9999999999999995E-7</v>
      </c>
      <c r="D2" s="1">
        <v>0</v>
      </c>
      <c r="E2" s="2">
        <v>1.0349999999999999E-5</v>
      </c>
      <c r="F2" s="3">
        <v>1</v>
      </c>
      <c r="G2" s="4">
        <f>F2/B2*100</f>
        <v>100</v>
      </c>
      <c r="H2" s="13">
        <v>0.48321770060000002</v>
      </c>
      <c r="I2" s="16">
        <v>0.4832177003</v>
      </c>
      <c r="J2" s="15">
        <f>ABS(H2-I2)</f>
        <v>3.000000248221113E-10</v>
      </c>
      <c r="K2" s="5"/>
      <c r="L2" s="11"/>
      <c r="M2" s="6"/>
    </row>
    <row r="3" spans="1:13" x14ac:dyDescent="0.25">
      <c r="A3" s="5"/>
      <c r="B3" s="1">
        <v>1</v>
      </c>
      <c r="C3" s="9">
        <v>9.9999999999999995E-7</v>
      </c>
      <c r="D3" s="1">
        <v>1</v>
      </c>
      <c r="E3" s="2">
        <v>1.2500000000000001E-6</v>
      </c>
      <c r="F3" s="3">
        <v>1</v>
      </c>
      <c r="G3" s="4">
        <f>F3/B3*100</f>
        <v>100</v>
      </c>
      <c r="H3" s="13">
        <v>0.26779459880000001</v>
      </c>
      <c r="I3" s="16">
        <v>0.26779451720000003</v>
      </c>
      <c r="J3" s="15">
        <f t="shared" ref="J3:J5" si="0">ABS(H3-I3)</f>
        <v>8.1599999979253823E-8</v>
      </c>
      <c r="K3" s="5"/>
      <c r="L3" s="11"/>
      <c r="M3" s="6"/>
    </row>
    <row r="4" spans="1:13" x14ac:dyDescent="0.25">
      <c r="A4" s="5"/>
      <c r="B4" s="1">
        <v>1</v>
      </c>
      <c r="C4" s="9">
        <v>1E-8</v>
      </c>
      <c r="D4" s="1">
        <v>0</v>
      </c>
      <c r="E4" s="2">
        <v>1.7710000000000002E-5</v>
      </c>
      <c r="F4" s="3">
        <v>1</v>
      </c>
      <c r="G4" s="4">
        <f>F4/B4*100</f>
        <v>100</v>
      </c>
      <c r="H4" s="13">
        <v>0.48321765300000002</v>
      </c>
      <c r="I4" s="16">
        <v>0.48321769549999999</v>
      </c>
      <c r="J4" s="15">
        <f t="shared" si="0"/>
        <v>4.2499999963752089E-8</v>
      </c>
      <c r="K4" s="5"/>
      <c r="L4" s="11"/>
      <c r="M4" s="6"/>
    </row>
    <row r="5" spans="1:13" x14ac:dyDescent="0.25">
      <c r="A5" s="5"/>
      <c r="B5" s="1">
        <v>1</v>
      </c>
      <c r="C5" s="9">
        <v>1E-8</v>
      </c>
      <c r="D5" s="1">
        <v>1</v>
      </c>
      <c r="E5" s="2">
        <v>2.8099999999999999E-5</v>
      </c>
      <c r="F5" s="3">
        <v>1</v>
      </c>
      <c r="G5" s="4">
        <f>F5/B5*100</f>
        <v>100</v>
      </c>
      <c r="H5" s="13">
        <v>0.26779450599999999</v>
      </c>
      <c r="I5" s="16">
        <v>0.26779450459999998</v>
      </c>
      <c r="J5" s="15">
        <f t="shared" si="0"/>
        <v>1.4000000048142169E-9</v>
      </c>
      <c r="K5" s="5"/>
      <c r="L5" s="11"/>
      <c r="M5" s="6"/>
    </row>
    <row r="6" spans="1:13" x14ac:dyDescent="0.25">
      <c r="A6" s="5"/>
      <c r="B6" s="1">
        <v>2</v>
      </c>
      <c r="C6" s="9">
        <v>9.9999999999999995E-7</v>
      </c>
      <c r="D6" s="1">
        <v>0</v>
      </c>
      <c r="E6" s="2">
        <v>1.182E-5</v>
      </c>
      <c r="F6" s="3">
        <f>$E$2/E6</f>
        <v>0.87563451776649737</v>
      </c>
      <c r="G6" s="4">
        <f t="shared" ref="G6:G25" si="1">F6/B6*100</f>
        <v>43.781725888324871</v>
      </c>
      <c r="H6" s="13">
        <v>0.48321770060000002</v>
      </c>
      <c r="I6" s="16">
        <v>0.4832177003</v>
      </c>
      <c r="J6" s="15">
        <f>ABS(H6-I6)</f>
        <v>3.000000248221113E-10</v>
      </c>
      <c r="K6" s="5"/>
      <c r="L6" s="11"/>
      <c r="M6" s="6"/>
    </row>
    <row r="7" spans="1:13" x14ac:dyDescent="0.25">
      <c r="A7" s="5"/>
      <c r="B7" s="1">
        <v>2</v>
      </c>
      <c r="C7" s="9">
        <v>9.9999999999999995E-7</v>
      </c>
      <c r="D7" s="1">
        <v>1</v>
      </c>
      <c r="E7" s="2">
        <v>1.305E-5</v>
      </c>
      <c r="F7" s="3">
        <f>$E$3/E7</f>
        <v>9.5785440613026823E-2</v>
      </c>
      <c r="G7" s="4">
        <f t="shared" si="1"/>
        <v>4.7892720306513414</v>
      </c>
      <c r="H7" s="13">
        <v>0.26779459880000001</v>
      </c>
      <c r="I7" s="16">
        <v>0.26779451720000003</v>
      </c>
      <c r="J7" s="15">
        <f t="shared" ref="J7:J25" si="2">ABS(H7-I7)</f>
        <v>8.1599999979253823E-8</v>
      </c>
      <c r="K7" s="5"/>
      <c r="L7" s="11"/>
      <c r="M7" s="6"/>
    </row>
    <row r="8" spans="1:13" x14ac:dyDescent="0.25">
      <c r="A8" s="5"/>
      <c r="B8" s="1">
        <v>2</v>
      </c>
      <c r="C8" s="9">
        <v>1E-8</v>
      </c>
      <c r="D8" s="1">
        <v>0</v>
      </c>
      <c r="E8" s="2">
        <v>1.502E-5</v>
      </c>
      <c r="F8" s="3">
        <f>$E$4/E8</f>
        <v>1.1790945406125168</v>
      </c>
      <c r="G8" s="4">
        <f t="shared" si="1"/>
        <v>58.95472703062584</v>
      </c>
      <c r="H8" s="13">
        <v>0.48321765300000002</v>
      </c>
      <c r="I8" s="16">
        <v>0.48321769549999999</v>
      </c>
      <c r="J8" s="15">
        <f t="shared" si="2"/>
        <v>4.2499999963752089E-8</v>
      </c>
      <c r="K8" s="5"/>
      <c r="L8" s="11"/>
      <c r="M8" s="6"/>
    </row>
    <row r="9" spans="1:13" x14ac:dyDescent="0.25">
      <c r="A9" s="5"/>
      <c r="B9" s="1">
        <v>2</v>
      </c>
      <c r="C9" s="9">
        <v>1E-8</v>
      </c>
      <c r="D9" s="1">
        <v>1</v>
      </c>
      <c r="E9" s="2">
        <v>1.092E-5</v>
      </c>
      <c r="F9" s="3">
        <f>$E$5/E9</f>
        <v>2.573260073260073</v>
      </c>
      <c r="G9" s="4">
        <f>F9/B9*100</f>
        <v>128.66300366300365</v>
      </c>
      <c r="H9" s="13">
        <v>0.26779450599999999</v>
      </c>
      <c r="I9" s="16">
        <v>0.26779450459999998</v>
      </c>
      <c r="J9" s="15">
        <f t="shared" si="2"/>
        <v>1.4000000048142169E-9</v>
      </c>
      <c r="K9" s="5"/>
      <c r="L9" s="11"/>
    </row>
    <row r="10" spans="1:13" x14ac:dyDescent="0.25">
      <c r="A10" s="5"/>
      <c r="B10" s="1">
        <v>4</v>
      </c>
      <c r="C10" s="9">
        <v>9.9999999999999995E-7</v>
      </c>
      <c r="D10" s="1">
        <v>0</v>
      </c>
      <c r="E10" s="2">
        <v>5.0799999999999996E-6</v>
      </c>
      <c r="F10" s="3">
        <f t="shared" ref="F10" si="3">$E$2/E10</f>
        <v>2.0374015748031495</v>
      </c>
      <c r="G10" s="4">
        <f t="shared" si="1"/>
        <v>50.935039370078741</v>
      </c>
      <c r="H10" s="13">
        <v>0.48321770060000002</v>
      </c>
      <c r="I10" s="16">
        <v>0.4832177003</v>
      </c>
      <c r="J10" s="15">
        <f>ABS(H10-I10)</f>
        <v>3.000000248221113E-10</v>
      </c>
      <c r="K10" s="5"/>
      <c r="L10" s="11"/>
    </row>
    <row r="11" spans="1:13" x14ac:dyDescent="0.25">
      <c r="A11" s="5"/>
      <c r="B11" s="1">
        <v>4</v>
      </c>
      <c r="C11" s="9">
        <v>9.9999999999999995E-7</v>
      </c>
      <c r="D11" s="1">
        <v>1</v>
      </c>
      <c r="E11" s="2">
        <v>5.0000000000000004E-6</v>
      </c>
      <c r="F11" s="3">
        <f t="shared" ref="F11" si="4">$E$3/E11</f>
        <v>0.25</v>
      </c>
      <c r="G11" s="4">
        <f t="shared" si="1"/>
        <v>6.25</v>
      </c>
      <c r="H11" s="13">
        <v>0.26779459880000001</v>
      </c>
      <c r="I11" s="16">
        <v>0.26779451720000003</v>
      </c>
      <c r="J11" s="15">
        <f t="shared" si="2"/>
        <v>8.1599999979253823E-8</v>
      </c>
      <c r="K11" s="5"/>
      <c r="L11" s="11"/>
    </row>
    <row r="12" spans="1:13" x14ac:dyDescent="0.25">
      <c r="A12" s="5"/>
      <c r="B12" s="1">
        <v>4</v>
      </c>
      <c r="C12" s="9">
        <v>1E-8</v>
      </c>
      <c r="D12" s="1">
        <v>0</v>
      </c>
      <c r="E12" s="2">
        <v>1.163E-5</v>
      </c>
      <c r="F12" s="3">
        <f t="shared" ref="F12" si="5">$E$4/E12</f>
        <v>1.5227858985382632</v>
      </c>
      <c r="G12" s="4">
        <f t="shared" si="1"/>
        <v>38.069647463456576</v>
      </c>
      <c r="H12" s="13">
        <v>0.48321765300000002</v>
      </c>
      <c r="I12" s="16">
        <v>0.48321769549999999</v>
      </c>
      <c r="J12" s="15">
        <f t="shared" si="2"/>
        <v>4.2499999963752089E-8</v>
      </c>
      <c r="K12" s="5"/>
      <c r="L12" s="11"/>
    </row>
    <row r="13" spans="1:13" x14ac:dyDescent="0.25">
      <c r="A13" s="5"/>
      <c r="B13" s="1">
        <v>4</v>
      </c>
      <c r="C13" s="9">
        <v>1E-8</v>
      </c>
      <c r="D13" s="1">
        <v>1</v>
      </c>
      <c r="E13" s="2">
        <v>7.8299999999999996E-6</v>
      </c>
      <c r="F13" s="3">
        <f t="shared" ref="F13" si="6">$E$5/E13</f>
        <v>3.5887611749680715</v>
      </c>
      <c r="G13" s="4">
        <f t="shared" si="1"/>
        <v>89.719029374201781</v>
      </c>
      <c r="H13" s="13">
        <v>0.26779450599999999</v>
      </c>
      <c r="I13" s="16">
        <v>0.26779450459999998</v>
      </c>
      <c r="J13" s="15">
        <f t="shared" si="2"/>
        <v>1.4000000048142169E-9</v>
      </c>
      <c r="K13" s="5"/>
      <c r="L13" s="11"/>
    </row>
    <row r="14" spans="1:13" x14ac:dyDescent="0.25">
      <c r="A14" s="5"/>
      <c r="B14" s="1">
        <v>8</v>
      </c>
      <c r="C14" s="9">
        <v>9.9999999999999995E-7</v>
      </c>
      <c r="D14" s="1">
        <v>0</v>
      </c>
      <c r="E14" s="2">
        <v>6.4500000000000001E-6</v>
      </c>
      <c r="F14" s="3">
        <f t="shared" ref="F14" si="7">$E$2/E14</f>
        <v>1.6046511627906974</v>
      </c>
      <c r="G14" s="4">
        <f t="shared" si="1"/>
        <v>20.058139534883718</v>
      </c>
      <c r="H14" s="13">
        <v>0.48321770060000002</v>
      </c>
      <c r="I14" s="16">
        <v>0.4832177003</v>
      </c>
      <c r="J14" s="15">
        <f>ABS(H14-I14)</f>
        <v>3.000000248221113E-10</v>
      </c>
      <c r="K14" s="5"/>
      <c r="L14" s="11"/>
    </row>
    <row r="15" spans="1:13" x14ac:dyDescent="0.25">
      <c r="A15" s="5"/>
      <c r="B15" s="1">
        <v>8</v>
      </c>
      <c r="C15" s="9">
        <v>9.9999999999999995E-7</v>
      </c>
      <c r="D15" s="1">
        <v>1</v>
      </c>
      <c r="E15" s="2">
        <v>8.4500000000000004E-6</v>
      </c>
      <c r="F15" s="3">
        <f t="shared" ref="F15" si="8">$E$3/E15</f>
        <v>0.14792899408284024</v>
      </c>
      <c r="G15" s="4">
        <f t="shared" si="1"/>
        <v>1.849112426035503</v>
      </c>
      <c r="H15" s="13">
        <v>0.26779459880000001</v>
      </c>
      <c r="I15" s="16">
        <v>0.26779451720000003</v>
      </c>
      <c r="J15" s="15">
        <f t="shared" si="2"/>
        <v>8.1599999979253823E-8</v>
      </c>
      <c r="K15" s="5"/>
      <c r="L15" s="11"/>
    </row>
    <row r="16" spans="1:13" x14ac:dyDescent="0.25">
      <c r="A16" s="5"/>
      <c r="B16" s="1">
        <v>8</v>
      </c>
      <c r="C16" s="9">
        <v>1E-8</v>
      </c>
      <c r="D16" s="1">
        <v>0</v>
      </c>
      <c r="E16" s="2">
        <v>9.6399999999999992E-6</v>
      </c>
      <c r="F16" s="3">
        <f t="shared" ref="F16" si="9">$E$4/E16</f>
        <v>1.8371369294605813</v>
      </c>
      <c r="G16" s="4">
        <f t="shared" si="1"/>
        <v>22.964211618257266</v>
      </c>
      <c r="H16" s="13">
        <v>0.48321765300000002</v>
      </c>
      <c r="I16" s="16">
        <v>0.48321769549999999</v>
      </c>
      <c r="J16" s="15">
        <f t="shared" si="2"/>
        <v>4.2499999963752089E-8</v>
      </c>
      <c r="K16" s="5"/>
      <c r="L16" s="11"/>
    </row>
    <row r="17" spans="1:12" x14ac:dyDescent="0.25">
      <c r="A17" s="5"/>
      <c r="B17" s="1">
        <v>8</v>
      </c>
      <c r="C17" s="9">
        <v>1E-8</v>
      </c>
      <c r="D17" s="1">
        <v>1</v>
      </c>
      <c r="E17" s="2">
        <v>5.7899999999999996E-6</v>
      </c>
      <c r="F17" s="3">
        <f t="shared" ref="F17" si="10">$E$5/E17</f>
        <v>4.8531951640759932</v>
      </c>
      <c r="G17" s="4">
        <f t="shared" si="1"/>
        <v>60.664939550949917</v>
      </c>
      <c r="H17" s="13">
        <v>0.26779450599999999</v>
      </c>
      <c r="I17" s="16">
        <v>0.26779450459999998</v>
      </c>
      <c r="J17" s="15">
        <f t="shared" si="2"/>
        <v>1.4000000048142169E-9</v>
      </c>
      <c r="K17" s="5"/>
      <c r="L17" s="11"/>
    </row>
    <row r="18" spans="1:12" x14ac:dyDescent="0.25">
      <c r="A18" s="5"/>
      <c r="B18" s="1">
        <v>12</v>
      </c>
      <c r="C18" s="9">
        <v>9.9999999999999995E-7</v>
      </c>
      <c r="D18" s="1">
        <v>0</v>
      </c>
      <c r="E18" s="2">
        <v>4.3900000000000003E-6</v>
      </c>
      <c r="F18" s="3">
        <f t="shared" ref="F18" si="11">$E$2/E18</f>
        <v>2.3576309794988606</v>
      </c>
      <c r="G18" s="4">
        <f t="shared" si="1"/>
        <v>19.646924829157172</v>
      </c>
      <c r="H18" s="13">
        <v>0.48321770060000002</v>
      </c>
      <c r="I18" s="16">
        <v>0.4832177003</v>
      </c>
      <c r="J18" s="15">
        <f>ABS(H18-I18)</f>
        <v>3.000000248221113E-10</v>
      </c>
      <c r="K18" s="5"/>
      <c r="L18" s="11"/>
    </row>
    <row r="19" spans="1:12" x14ac:dyDescent="0.25">
      <c r="A19" s="5"/>
      <c r="B19" s="1">
        <v>12</v>
      </c>
      <c r="C19" s="9">
        <v>9.9999999999999995E-7</v>
      </c>
      <c r="D19" s="1">
        <v>1</v>
      </c>
      <c r="E19" s="2">
        <v>4.1200000000000004E-6</v>
      </c>
      <c r="F19" s="3">
        <f t="shared" ref="F19" si="12">$E$3/E19</f>
        <v>0.30339805825242716</v>
      </c>
      <c r="G19" s="4">
        <f t="shared" si="1"/>
        <v>2.5283171521035595</v>
      </c>
      <c r="H19" s="13">
        <v>0.26779459880000001</v>
      </c>
      <c r="I19" s="16">
        <v>0.26779451720000003</v>
      </c>
      <c r="J19" s="15">
        <f t="shared" si="2"/>
        <v>8.1599999979253823E-8</v>
      </c>
      <c r="K19" s="5"/>
      <c r="L19" s="11"/>
    </row>
    <row r="20" spans="1:12" x14ac:dyDescent="0.25">
      <c r="A20" s="5"/>
      <c r="B20" s="1">
        <v>12</v>
      </c>
      <c r="C20" s="9">
        <v>1E-8</v>
      </c>
      <c r="D20" s="1">
        <v>0</v>
      </c>
      <c r="E20" s="2">
        <v>6.0399999999999998E-6</v>
      </c>
      <c r="F20" s="3">
        <f t="shared" ref="F20" si="13">$E$4/E20</f>
        <v>2.9321192052980134</v>
      </c>
      <c r="G20" s="4">
        <f t="shared" si="1"/>
        <v>24.434326710816777</v>
      </c>
      <c r="H20" s="13">
        <v>0.48321765300000002</v>
      </c>
      <c r="I20" s="16">
        <v>0.48321769549999999</v>
      </c>
      <c r="J20" s="15">
        <f t="shared" si="2"/>
        <v>4.2499999963752089E-8</v>
      </c>
      <c r="K20" s="5"/>
      <c r="L20" s="8"/>
    </row>
    <row r="21" spans="1:12" x14ac:dyDescent="0.25">
      <c r="A21" s="5"/>
      <c r="B21" s="1">
        <v>12</v>
      </c>
      <c r="C21" s="9">
        <v>1E-8</v>
      </c>
      <c r="D21" s="1">
        <v>1</v>
      </c>
      <c r="E21" s="2">
        <v>4.8099999999999997E-6</v>
      </c>
      <c r="F21" s="3">
        <f t="shared" ref="F21" si="14">$E$5/E21</f>
        <v>5.8419958419958418</v>
      </c>
      <c r="G21" s="4">
        <f t="shared" si="1"/>
        <v>48.68329868329868</v>
      </c>
      <c r="H21" s="13">
        <v>0.26779450599999999</v>
      </c>
      <c r="I21" s="16">
        <v>0.26779450459999998</v>
      </c>
      <c r="J21" s="15">
        <f t="shared" si="2"/>
        <v>1.4000000048142169E-9</v>
      </c>
      <c r="K21" s="5"/>
    </row>
    <row r="22" spans="1:12" x14ac:dyDescent="0.25">
      <c r="A22" s="5"/>
      <c r="B22" s="1">
        <v>16</v>
      </c>
      <c r="C22" s="9">
        <v>9.9999999999999995E-7</v>
      </c>
      <c r="D22" s="1">
        <v>0</v>
      </c>
      <c r="E22" s="2">
        <v>5.0300000000000001E-6</v>
      </c>
      <c r="F22" s="3">
        <f t="shared" ref="F22" si="15">$E$2/E22</f>
        <v>2.0576540755467194</v>
      </c>
      <c r="G22" s="4">
        <f t="shared" si="1"/>
        <v>12.860337972166997</v>
      </c>
      <c r="H22" s="13">
        <v>0.48321770060000002</v>
      </c>
      <c r="I22" s="16">
        <v>0.4832177003</v>
      </c>
      <c r="J22" s="15">
        <f>ABS(H22-I22)</f>
        <v>3.000000248221113E-10</v>
      </c>
      <c r="K22" s="5"/>
    </row>
    <row r="23" spans="1:12" x14ac:dyDescent="0.25">
      <c r="A23" s="5"/>
      <c r="B23" s="1">
        <v>16</v>
      </c>
      <c r="C23" s="9">
        <v>9.9999999999999995E-7</v>
      </c>
      <c r="D23" s="1">
        <v>1</v>
      </c>
      <c r="E23" s="2">
        <v>6.0499999999999997E-6</v>
      </c>
      <c r="F23" s="3">
        <f t="shared" ref="F23" si="16">$E$3/E23</f>
        <v>0.20661157024793392</v>
      </c>
      <c r="G23" s="4">
        <f t="shared" si="1"/>
        <v>1.2913223140495871</v>
      </c>
      <c r="H23" s="13">
        <v>0.26779459880000001</v>
      </c>
      <c r="I23" s="16">
        <v>0.26779451720000003</v>
      </c>
      <c r="J23" s="15">
        <f t="shared" si="2"/>
        <v>8.1599999979253823E-8</v>
      </c>
      <c r="K23" s="5"/>
    </row>
    <row r="24" spans="1:12" x14ac:dyDescent="0.25">
      <c r="A24" s="5"/>
      <c r="B24" s="1">
        <v>16</v>
      </c>
      <c r="C24" s="9">
        <v>1E-8</v>
      </c>
      <c r="D24" s="1">
        <v>0</v>
      </c>
      <c r="E24" s="2">
        <v>5.8900000000000004E-6</v>
      </c>
      <c r="F24" s="3">
        <f t="shared" ref="F24" si="17">$E$4/E24</f>
        <v>3.0067911714770799</v>
      </c>
      <c r="G24" s="4">
        <f t="shared" si="1"/>
        <v>18.792444821731749</v>
      </c>
      <c r="H24" s="13">
        <v>0.48321765300000002</v>
      </c>
      <c r="I24" s="16">
        <v>0.48321769549999999</v>
      </c>
      <c r="J24" s="15">
        <f t="shared" si="2"/>
        <v>4.2499999963752089E-8</v>
      </c>
      <c r="K24" s="5"/>
    </row>
    <row r="25" spans="1:12" x14ac:dyDescent="0.25">
      <c r="A25" s="5"/>
      <c r="B25" s="1">
        <v>16</v>
      </c>
      <c r="C25" s="9">
        <v>1E-8</v>
      </c>
      <c r="D25" s="1">
        <v>1</v>
      </c>
      <c r="E25" s="2">
        <v>5.2100000000000001E-6</v>
      </c>
      <c r="F25" s="3">
        <f t="shared" ref="F25" si="18">$E$5/E25</f>
        <v>5.3934740882917467</v>
      </c>
      <c r="G25" s="4">
        <f t="shared" si="1"/>
        <v>33.709213051823419</v>
      </c>
      <c r="H25" s="13">
        <v>0.26779450599999999</v>
      </c>
      <c r="I25" s="16">
        <v>0.26779450459999998</v>
      </c>
      <c r="J25" s="15">
        <f t="shared" si="2"/>
        <v>1.4000000048142169E-9</v>
      </c>
      <c r="K25" s="5"/>
    </row>
    <row r="26" spans="1:1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2" x14ac:dyDescent="0.25">
      <c r="A27" s="11"/>
      <c r="B27" s="11"/>
      <c r="C27" s="10"/>
      <c r="D27" s="11"/>
      <c r="E27" s="11"/>
      <c r="F27" s="11"/>
      <c r="G27" s="11"/>
      <c r="H27" s="11"/>
    </row>
    <row r="28" spans="1:12" x14ac:dyDescent="0.25">
      <c r="A28" s="11"/>
      <c r="B28" s="11"/>
      <c r="C28" s="10"/>
      <c r="D28" s="11"/>
      <c r="E28" s="11"/>
      <c r="F28" s="11"/>
      <c r="G28" s="11"/>
      <c r="H28" s="11"/>
    </row>
    <row r="29" spans="1:12" x14ac:dyDescent="0.25">
      <c r="A29" s="11"/>
      <c r="B29" s="11"/>
      <c r="C29" s="10"/>
      <c r="D29" s="11"/>
      <c r="E29" s="11"/>
      <c r="F29" s="11"/>
      <c r="G29" s="11"/>
      <c r="H29" s="11"/>
    </row>
    <row r="30" spans="1:12" x14ac:dyDescent="0.25">
      <c r="A30" s="11"/>
      <c r="B30" s="11"/>
      <c r="C30" s="10"/>
      <c r="D30" s="11"/>
      <c r="E30" s="11"/>
      <c r="F30" s="11"/>
      <c r="G30" s="11"/>
      <c r="H30" s="11"/>
    </row>
    <row r="31" spans="1:12" x14ac:dyDescent="0.25">
      <c r="A31" s="11"/>
      <c r="B31" s="11"/>
      <c r="C31" s="10"/>
      <c r="D31" s="11"/>
      <c r="E31" s="11"/>
      <c r="F31" s="11"/>
      <c r="G31" s="11"/>
      <c r="H31" s="11"/>
    </row>
    <row r="32" spans="1:12" x14ac:dyDescent="0.25">
      <c r="A32" s="11"/>
      <c r="B32" s="11"/>
      <c r="C32" s="10"/>
      <c r="D32" s="11"/>
      <c r="E32" s="11"/>
      <c r="F32" s="11"/>
      <c r="G32" s="11"/>
      <c r="H32" s="11"/>
    </row>
    <row r="33" spans="1:8" x14ac:dyDescent="0.25">
      <c r="A33" s="11"/>
      <c r="B33" s="11"/>
      <c r="C33" s="10"/>
      <c r="D33" s="11"/>
      <c r="E33" s="11"/>
      <c r="F33" s="11"/>
      <c r="G33" s="11"/>
      <c r="H33" s="11"/>
    </row>
    <row r="34" spans="1:8" x14ac:dyDescent="0.25">
      <c r="A34" s="11"/>
      <c r="B34" s="11"/>
      <c r="C34" s="10"/>
      <c r="D34" s="11"/>
      <c r="E34" s="11"/>
      <c r="F34" s="11"/>
      <c r="G34" s="11"/>
      <c r="H34" s="11"/>
    </row>
    <row r="35" spans="1:8" x14ac:dyDescent="0.25">
      <c r="A35" s="11"/>
      <c r="B35" s="11"/>
      <c r="C35" s="10"/>
      <c r="D35" s="11"/>
      <c r="E35" s="11"/>
      <c r="F35" s="11"/>
      <c r="G35" s="11"/>
      <c r="H35" s="11"/>
    </row>
    <row r="36" spans="1:8" x14ac:dyDescent="0.25">
      <c r="A36" s="11"/>
      <c r="B36" s="11"/>
      <c r="C36" s="10"/>
      <c r="D36" s="11"/>
      <c r="E36" s="11"/>
      <c r="F36" s="11"/>
      <c r="G36" s="11"/>
      <c r="H36" s="11"/>
    </row>
    <row r="37" spans="1:8" x14ac:dyDescent="0.25">
      <c r="A37" s="11"/>
      <c r="B37" s="11"/>
      <c r="C37" s="10"/>
      <c r="D37" s="11"/>
      <c r="E37" s="11"/>
      <c r="F37" s="11"/>
      <c r="G37" s="11"/>
      <c r="H37" s="11"/>
    </row>
    <row r="38" spans="1:8" x14ac:dyDescent="0.25">
      <c r="A38" s="11"/>
      <c r="B38" s="11"/>
      <c r="C38" s="11"/>
      <c r="D38" s="11"/>
      <c r="E38" s="11"/>
      <c r="F38" s="11"/>
      <c r="G38" s="11"/>
      <c r="H38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8E1E8-07C5-4ADD-91F5-62201AA40E70}">
  <dimension ref="A1:M27"/>
  <sheetViews>
    <sheetView tabSelected="1" zoomScaleNormal="100" workbookViewId="0">
      <selection activeCell="H16" sqref="H16"/>
    </sheetView>
  </sheetViews>
  <sheetFormatPr defaultRowHeight="15" x14ac:dyDescent="0.25"/>
  <cols>
    <col min="1" max="1" width="12.7109375" customWidth="1"/>
    <col min="2" max="2" width="13.28515625" customWidth="1"/>
    <col min="3" max="3" width="20.140625" customWidth="1"/>
    <col min="4" max="5" width="20.5703125" customWidth="1"/>
    <col min="6" max="6" width="20.7109375" customWidth="1"/>
    <col min="7" max="7" width="21" customWidth="1"/>
    <col min="8" max="8" width="27.85546875" customWidth="1"/>
    <col min="9" max="9" width="18" customWidth="1"/>
    <col min="10" max="10" width="16.28515625" customWidth="1"/>
    <col min="11" max="11" width="16.140625" customWidth="1"/>
    <col min="15" max="15" width="13.140625" customWidth="1"/>
    <col min="18" max="18" width="12.42578125" customWidth="1"/>
  </cols>
  <sheetData>
    <row r="1" spans="1:13" x14ac:dyDescent="0.25">
      <c r="A1" s="5"/>
      <c r="B1" s="1" t="s">
        <v>3</v>
      </c>
      <c r="C1" s="1" t="s">
        <v>4</v>
      </c>
      <c r="D1" s="1" t="s">
        <v>5</v>
      </c>
      <c r="E1" s="2" t="s">
        <v>1</v>
      </c>
      <c r="F1" s="3" t="s">
        <v>0</v>
      </c>
      <c r="G1" s="4" t="s">
        <v>2</v>
      </c>
      <c r="H1" s="12" t="s">
        <v>6</v>
      </c>
      <c r="I1" s="14" t="s">
        <v>7</v>
      </c>
      <c r="J1" s="15" t="s">
        <v>8</v>
      </c>
      <c r="K1" s="5"/>
      <c r="L1" s="11"/>
      <c r="M1" s="6"/>
    </row>
    <row r="2" spans="1:13" x14ac:dyDescent="0.25">
      <c r="A2" s="5"/>
      <c r="B2" s="1">
        <v>2</v>
      </c>
      <c r="C2" s="9">
        <v>9.9999999999999995E-7</v>
      </c>
      <c r="D2" s="1">
        <v>0</v>
      </c>
      <c r="E2" s="2">
        <v>2.7650000000000001E-5</v>
      </c>
      <c r="F2" s="3">
        <v>1</v>
      </c>
      <c r="G2" s="4">
        <f>100</f>
        <v>100</v>
      </c>
      <c r="H2" s="13">
        <v>0.48321770800000002</v>
      </c>
      <c r="I2" s="16">
        <v>0.4832177003</v>
      </c>
      <c r="J2" s="15">
        <f>ABS(H2-I2)</f>
        <v>7.7000000264781931E-9</v>
      </c>
      <c r="K2" s="5"/>
      <c r="L2" s="11"/>
      <c r="M2" s="6"/>
    </row>
    <row r="3" spans="1:13" x14ac:dyDescent="0.25">
      <c r="A3" s="5"/>
      <c r="B3" s="1">
        <v>2</v>
      </c>
      <c r="C3" s="9">
        <v>9.9999999999999995E-7</v>
      </c>
      <c r="D3" s="1">
        <v>1</v>
      </c>
      <c r="E3" s="2">
        <v>2.084E-5</v>
      </c>
      <c r="F3" s="3">
        <v>1</v>
      </c>
      <c r="G3" s="4">
        <f>100</f>
        <v>100</v>
      </c>
      <c r="H3" s="13">
        <v>0.26779456340000002</v>
      </c>
      <c r="I3" s="16">
        <v>0.26779451720000003</v>
      </c>
      <c r="J3" s="15">
        <f t="shared" ref="J3:J21" si="0">ABS(H3-I3)</f>
        <v>4.6199999992335705E-8</v>
      </c>
      <c r="K3" s="5"/>
      <c r="L3" s="11"/>
      <c r="M3" s="6"/>
    </row>
    <row r="4" spans="1:13" x14ac:dyDescent="0.25">
      <c r="A4" s="5"/>
      <c r="B4" s="1">
        <v>2</v>
      </c>
      <c r="C4" s="9">
        <v>1E-8</v>
      </c>
      <c r="D4" s="1">
        <v>0</v>
      </c>
      <c r="E4" s="2">
        <v>4.3529999999999998E-5</v>
      </c>
      <c r="F4" s="3">
        <v>1</v>
      </c>
      <c r="G4" s="4">
        <f>100</f>
        <v>100</v>
      </c>
      <c r="H4" s="13">
        <v>0.48321769549999999</v>
      </c>
      <c r="I4" s="16">
        <v>0.48321769549999999</v>
      </c>
      <c r="J4" s="15">
        <f t="shared" si="0"/>
        <v>0</v>
      </c>
      <c r="K4" s="5"/>
      <c r="L4" s="11"/>
      <c r="M4" s="6"/>
    </row>
    <row r="5" spans="1:13" x14ac:dyDescent="0.25">
      <c r="A5" s="5"/>
      <c r="B5" s="1">
        <v>2</v>
      </c>
      <c r="C5" s="9">
        <v>1E-8</v>
      </c>
      <c r="D5" s="1">
        <v>1</v>
      </c>
      <c r="E5" s="2">
        <v>4.2769999999999999E-5</v>
      </c>
      <c r="F5" s="3">
        <v>1</v>
      </c>
      <c r="G5" s="4">
        <f>100</f>
        <v>100</v>
      </c>
      <c r="H5" s="13">
        <v>0.26779450580000003</v>
      </c>
      <c r="I5" s="16">
        <v>0.26779450459999998</v>
      </c>
      <c r="J5" s="15">
        <f t="shared" si="0"/>
        <v>1.200000043777294E-9</v>
      </c>
      <c r="K5" s="5"/>
      <c r="L5" s="11"/>
      <c r="M5" s="6"/>
    </row>
    <row r="6" spans="1:13" x14ac:dyDescent="0.25">
      <c r="A6" s="5"/>
      <c r="B6" s="1">
        <v>4</v>
      </c>
      <c r="C6" s="9">
        <v>9.9999999999999995E-7</v>
      </c>
      <c r="D6" s="1">
        <v>0</v>
      </c>
      <c r="E6" s="2">
        <v>9.1400000000000006E-6</v>
      </c>
      <c r="F6" s="3">
        <f>$E$2/E6</f>
        <v>3.0251641137855581</v>
      </c>
      <c r="G6" s="4">
        <f>F6/B6*100</f>
        <v>75.62910284463895</v>
      </c>
      <c r="H6" s="13">
        <v>0.48321770800000002</v>
      </c>
      <c r="I6" s="16">
        <v>0.4832177003</v>
      </c>
      <c r="J6" s="15">
        <f t="shared" si="0"/>
        <v>7.7000000264781931E-9</v>
      </c>
      <c r="K6" s="5"/>
      <c r="L6" s="11"/>
      <c r="M6" s="6"/>
    </row>
    <row r="7" spans="1:13" x14ac:dyDescent="0.25">
      <c r="A7" s="5"/>
      <c r="B7" s="1">
        <v>4</v>
      </c>
      <c r="C7" s="9">
        <v>9.9999999999999995E-7</v>
      </c>
      <c r="D7" s="1">
        <v>1</v>
      </c>
      <c r="E7" s="2">
        <v>1.1790000000000001E-5</v>
      </c>
      <c r="F7" s="3">
        <f>$E$3/E7</f>
        <v>1.7675996607294318</v>
      </c>
      <c r="G7" s="4">
        <f>F7/B7*100</f>
        <v>44.189991518235793</v>
      </c>
      <c r="H7" s="13">
        <v>0.26779456340000002</v>
      </c>
      <c r="I7" s="16">
        <v>0.26779451720000003</v>
      </c>
      <c r="J7" s="15">
        <f t="shared" si="0"/>
        <v>4.6199999992335705E-8</v>
      </c>
      <c r="K7" s="5"/>
      <c r="L7" s="11"/>
      <c r="M7" s="6"/>
    </row>
    <row r="8" spans="1:13" x14ac:dyDescent="0.25">
      <c r="A8" s="5"/>
      <c r="B8" s="1">
        <v>4</v>
      </c>
      <c r="C8" s="9">
        <v>1E-8</v>
      </c>
      <c r="D8" s="1">
        <v>0</v>
      </c>
      <c r="E8" s="2">
        <v>1.7410000000000001E-5</v>
      </c>
      <c r="F8" s="3">
        <f>$E$4/E8</f>
        <v>2.5002871912693854</v>
      </c>
      <c r="G8" s="4">
        <f>F8/B8*100</f>
        <v>62.507179781734635</v>
      </c>
      <c r="H8" s="13">
        <v>0.48321769549999999</v>
      </c>
      <c r="I8" s="16">
        <v>0.48321769549999999</v>
      </c>
      <c r="J8" s="15">
        <f t="shared" si="0"/>
        <v>0</v>
      </c>
      <c r="K8" s="5"/>
      <c r="L8" s="11"/>
      <c r="M8" s="6"/>
    </row>
    <row r="9" spans="1:13" x14ac:dyDescent="0.25">
      <c r="A9" s="5"/>
      <c r="B9" s="1">
        <v>4</v>
      </c>
      <c r="C9" s="9">
        <v>1E-8</v>
      </c>
      <c r="D9" s="1">
        <v>1</v>
      </c>
      <c r="E9" s="2">
        <v>2.9660000000000001E-5</v>
      </c>
      <c r="F9" s="3">
        <f>$E$5/E9</f>
        <v>1.4420094403236681</v>
      </c>
      <c r="G9" s="4">
        <f>F9/B9*100</f>
        <v>36.050236008091701</v>
      </c>
      <c r="H9" s="13">
        <v>0.26779450580000003</v>
      </c>
      <c r="I9" s="16">
        <v>0.26779450459999998</v>
      </c>
      <c r="J9" s="15">
        <f t="shared" si="0"/>
        <v>1.200000043777294E-9</v>
      </c>
      <c r="K9" s="5"/>
      <c r="L9" s="11"/>
    </row>
    <row r="10" spans="1:13" x14ac:dyDescent="0.25">
      <c r="A10" s="5"/>
      <c r="B10" s="1">
        <v>8</v>
      </c>
      <c r="C10" s="9">
        <v>9.9999999999999995E-7</v>
      </c>
      <c r="D10" s="1">
        <v>0</v>
      </c>
      <c r="E10" s="2">
        <v>1.2670000000000001E-5</v>
      </c>
      <c r="F10" s="3">
        <f>$E$2/E10</f>
        <v>2.1823204419889501</v>
      </c>
      <c r="G10" s="4">
        <f>F10/B10*100</f>
        <v>27.279005524861876</v>
      </c>
      <c r="H10" s="13">
        <v>0.48321770800000002</v>
      </c>
      <c r="I10" s="16">
        <v>0.4832177003</v>
      </c>
      <c r="J10" s="15">
        <f t="shared" si="0"/>
        <v>7.7000000264781931E-9</v>
      </c>
      <c r="K10" s="5"/>
      <c r="L10" s="11"/>
    </row>
    <row r="11" spans="1:13" x14ac:dyDescent="0.25">
      <c r="A11" s="5"/>
      <c r="B11" s="1">
        <v>8</v>
      </c>
      <c r="C11" s="9">
        <v>9.9999999999999995E-7</v>
      </c>
      <c r="D11" s="1">
        <v>1</v>
      </c>
      <c r="E11" s="2">
        <v>1.467E-5</v>
      </c>
      <c r="F11" s="3">
        <f>$E$3/E11</f>
        <v>1.4205862304021812</v>
      </c>
      <c r="G11" s="4">
        <f>F11/B11*100</f>
        <v>17.757327880027265</v>
      </c>
      <c r="H11" s="13">
        <v>0.26779456340000002</v>
      </c>
      <c r="I11" s="16">
        <v>0.26779451720000003</v>
      </c>
      <c r="J11" s="15">
        <f t="shared" si="0"/>
        <v>4.6199999992335705E-8</v>
      </c>
      <c r="K11" s="5"/>
      <c r="L11" s="11"/>
    </row>
    <row r="12" spans="1:13" x14ac:dyDescent="0.25">
      <c r="A12" s="5"/>
      <c r="B12" s="1">
        <v>8</v>
      </c>
      <c r="C12" s="9">
        <v>1E-8</v>
      </c>
      <c r="D12" s="1">
        <v>0</v>
      </c>
      <c r="E12" s="2">
        <v>2.1399999999999998E-5</v>
      </c>
      <c r="F12" s="3">
        <f>$E$4/E12</f>
        <v>2.0341121495327101</v>
      </c>
      <c r="G12" s="4">
        <f>F12/B12*100</f>
        <v>25.426401869158877</v>
      </c>
      <c r="H12" s="13">
        <v>0.48321769549999999</v>
      </c>
      <c r="I12" s="16">
        <v>0.48321769549999999</v>
      </c>
      <c r="J12" s="15">
        <f t="shared" si="0"/>
        <v>0</v>
      </c>
      <c r="K12" s="5"/>
      <c r="L12" s="11"/>
    </row>
    <row r="13" spans="1:13" x14ac:dyDescent="0.25">
      <c r="A13" s="5"/>
      <c r="B13" s="1">
        <v>8</v>
      </c>
      <c r="C13" s="9">
        <v>1E-8</v>
      </c>
      <c r="D13" s="1">
        <v>1</v>
      </c>
      <c r="E13" s="2">
        <v>4.8210000000000001E-5</v>
      </c>
      <c r="F13" s="3">
        <f>$E$5/E13</f>
        <v>0.88716034017838619</v>
      </c>
      <c r="G13" s="4">
        <f>F13/B13*100</f>
        <v>11.089504252229828</v>
      </c>
      <c r="H13" s="13">
        <v>0.26779450580000003</v>
      </c>
      <c r="I13" s="16">
        <v>0.26779450459999998</v>
      </c>
      <c r="J13" s="15">
        <f t="shared" si="0"/>
        <v>1.200000043777294E-9</v>
      </c>
      <c r="K13" s="5"/>
      <c r="L13" s="11"/>
    </row>
    <row r="14" spans="1:13" x14ac:dyDescent="0.25">
      <c r="A14" s="5"/>
      <c r="B14" s="1">
        <v>12</v>
      </c>
      <c r="C14" s="9">
        <v>9.9999999999999995E-7</v>
      </c>
      <c r="D14" s="1">
        <v>0</v>
      </c>
      <c r="E14" s="2">
        <v>1.342E-5</v>
      </c>
      <c r="F14" s="3">
        <f>$E$2/E14</f>
        <v>2.0603576751117734</v>
      </c>
      <c r="G14" s="4">
        <f>F14/B14*100</f>
        <v>17.169647292598111</v>
      </c>
      <c r="H14" s="13">
        <v>0.48321770800000002</v>
      </c>
      <c r="I14" s="16">
        <v>0.4832177003</v>
      </c>
      <c r="J14" s="15">
        <f t="shared" si="0"/>
        <v>7.7000000264781931E-9</v>
      </c>
      <c r="K14" s="5"/>
      <c r="L14" s="11"/>
    </row>
    <row r="15" spans="1:13" x14ac:dyDescent="0.25">
      <c r="A15" s="5"/>
      <c r="B15" s="1">
        <v>12</v>
      </c>
      <c r="C15" s="9">
        <v>9.9999999999999995E-7</v>
      </c>
      <c r="D15" s="1">
        <v>1</v>
      </c>
      <c r="E15" s="2">
        <v>2.3430000000000001E-5</v>
      </c>
      <c r="F15" s="3">
        <f>$E$3/E15</f>
        <v>0.88945795988049503</v>
      </c>
      <c r="G15" s="4">
        <f>F15/B15*100</f>
        <v>7.4121496656707917</v>
      </c>
      <c r="H15" s="13">
        <v>0.26779456340000002</v>
      </c>
      <c r="I15" s="16">
        <v>0.26779451720000003</v>
      </c>
      <c r="J15" s="15">
        <f t="shared" si="0"/>
        <v>4.6199999992335705E-8</v>
      </c>
      <c r="K15" s="5"/>
      <c r="L15" s="6"/>
    </row>
    <row r="16" spans="1:13" x14ac:dyDescent="0.25">
      <c r="A16" s="5"/>
      <c r="B16" s="1">
        <v>12</v>
      </c>
      <c r="C16" s="9">
        <v>1E-8</v>
      </c>
      <c r="D16" s="1">
        <v>0</v>
      </c>
      <c r="E16" s="2">
        <v>2.317E-5</v>
      </c>
      <c r="F16" s="3">
        <f>$E$4/E16</f>
        <v>1.8787224859732412</v>
      </c>
      <c r="G16" s="4">
        <f>F16/B16*100</f>
        <v>15.656020716443678</v>
      </c>
      <c r="H16" s="13">
        <v>0.48321769549999999</v>
      </c>
      <c r="I16" s="16">
        <v>0.48321769549999999</v>
      </c>
      <c r="J16" s="15">
        <f t="shared" si="0"/>
        <v>0</v>
      </c>
      <c r="K16" s="5"/>
      <c r="L16" s="6"/>
    </row>
    <row r="17" spans="1:12" x14ac:dyDescent="0.25">
      <c r="A17" s="5"/>
      <c r="B17" s="1">
        <v>12</v>
      </c>
      <c r="C17" s="9">
        <v>1E-8</v>
      </c>
      <c r="D17" s="1">
        <v>1</v>
      </c>
      <c r="E17" s="2">
        <v>4.5410000000000001E-5</v>
      </c>
      <c r="F17" s="3">
        <f>$E$5/E17</f>
        <v>0.94186302576524994</v>
      </c>
      <c r="G17" s="4">
        <f>F17/B17*100</f>
        <v>7.8488585480437498</v>
      </c>
      <c r="H17" s="13">
        <v>0.26779450580000003</v>
      </c>
      <c r="I17" s="16">
        <v>0.26779450459999998</v>
      </c>
      <c r="J17" s="15">
        <f t="shared" si="0"/>
        <v>1.200000043777294E-9</v>
      </c>
      <c r="K17" s="5"/>
      <c r="L17" s="6"/>
    </row>
    <row r="18" spans="1:12" x14ac:dyDescent="0.25">
      <c r="A18" s="5"/>
      <c r="B18" s="1">
        <v>16</v>
      </c>
      <c r="C18" s="9">
        <v>9.9999999999999995E-7</v>
      </c>
      <c r="D18" s="1">
        <v>0</v>
      </c>
      <c r="E18" s="2">
        <v>1.787E-5</v>
      </c>
      <c r="F18" s="3">
        <f>$E$2/E18</f>
        <v>1.5472859541130386</v>
      </c>
      <c r="G18" s="4">
        <f>F18/B18*100</f>
        <v>9.670537213206492</v>
      </c>
      <c r="H18" s="13">
        <v>0.48321770800000002</v>
      </c>
      <c r="I18" s="16">
        <v>0.4832177003</v>
      </c>
      <c r="J18" s="15">
        <f t="shared" si="0"/>
        <v>7.7000000264781931E-9</v>
      </c>
      <c r="K18" s="5"/>
      <c r="L18" s="6"/>
    </row>
    <row r="19" spans="1:12" x14ac:dyDescent="0.25">
      <c r="A19" s="5"/>
      <c r="B19" s="1">
        <v>16</v>
      </c>
      <c r="C19" s="9">
        <v>9.9999999999999995E-7</v>
      </c>
      <c r="D19" s="1">
        <v>1</v>
      </c>
      <c r="E19" s="2">
        <v>3.1999999999999999E-5</v>
      </c>
      <c r="F19" s="3">
        <f>$E$3/E19</f>
        <v>0.65125</v>
      </c>
      <c r="G19" s="4">
        <f>F19/B19*100</f>
        <v>4.0703125</v>
      </c>
      <c r="H19" s="13">
        <v>0.26779456340000002</v>
      </c>
      <c r="I19" s="16">
        <v>0.26779451720000003</v>
      </c>
      <c r="J19" s="15">
        <f t="shared" si="0"/>
        <v>4.6199999992335705E-8</v>
      </c>
      <c r="K19" s="5"/>
      <c r="L19" s="6"/>
    </row>
    <row r="20" spans="1:12" x14ac:dyDescent="0.25">
      <c r="A20" s="5"/>
      <c r="B20" s="1">
        <v>16</v>
      </c>
      <c r="C20" s="9">
        <v>1E-8</v>
      </c>
      <c r="D20" s="1">
        <v>0</v>
      </c>
      <c r="E20" s="2">
        <v>3.5290000000000003E-5</v>
      </c>
      <c r="F20" s="3">
        <f>$E$4/E20</f>
        <v>1.2334939076225557</v>
      </c>
      <c r="G20" s="4">
        <f>F20/B20*100</f>
        <v>7.7093369226409729</v>
      </c>
      <c r="H20" s="13">
        <v>0.48321769549999999</v>
      </c>
      <c r="I20" s="16">
        <v>0.48321769549999999</v>
      </c>
      <c r="J20" s="15">
        <f t="shared" si="0"/>
        <v>0</v>
      </c>
      <c r="K20" s="5"/>
    </row>
    <row r="21" spans="1:12" x14ac:dyDescent="0.25">
      <c r="A21" s="5"/>
      <c r="B21" s="1">
        <v>16</v>
      </c>
      <c r="C21" s="9">
        <v>1E-8</v>
      </c>
      <c r="D21" s="1">
        <v>1</v>
      </c>
      <c r="E21" s="2">
        <v>7.5080000000000006E-5</v>
      </c>
      <c r="F21" s="3">
        <f>$E$5/E21</f>
        <v>0.56965903036760779</v>
      </c>
      <c r="G21" s="4">
        <f>F21/B21*100</f>
        <v>3.5603689397975486</v>
      </c>
      <c r="H21" s="13">
        <v>0.26779450580000003</v>
      </c>
      <c r="I21" s="16">
        <v>0.26779450459999998</v>
      </c>
      <c r="J21" s="15">
        <f t="shared" si="0"/>
        <v>1.200000043777294E-9</v>
      </c>
      <c r="K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2" x14ac:dyDescent="0.25">
      <c r="A23" s="11"/>
      <c r="B23" s="11"/>
      <c r="C23" s="10"/>
      <c r="D23" s="11"/>
      <c r="E23" s="11"/>
      <c r="F23" s="11"/>
      <c r="G23" s="11"/>
      <c r="H23" s="11"/>
      <c r="I23" s="11"/>
      <c r="J23" s="8"/>
      <c r="K23" s="8"/>
    </row>
    <row r="24" spans="1:12" x14ac:dyDescent="0.25">
      <c r="A24" s="11"/>
      <c r="B24" s="11"/>
      <c r="C24" s="10"/>
      <c r="D24" s="11"/>
      <c r="E24" s="11"/>
      <c r="F24" s="11"/>
      <c r="G24" s="11"/>
      <c r="H24" s="11"/>
      <c r="I24" s="11"/>
      <c r="J24" s="8"/>
      <c r="K24" s="8"/>
    </row>
    <row r="25" spans="1:12" x14ac:dyDescent="0.25">
      <c r="A25" s="11"/>
      <c r="B25" s="11"/>
      <c r="C25" s="10"/>
      <c r="D25" s="11"/>
      <c r="E25" s="11"/>
      <c r="F25" s="11"/>
      <c r="G25" s="11"/>
      <c r="H25" s="11"/>
      <c r="I25" s="11"/>
      <c r="J25" s="8"/>
      <c r="K25" s="8"/>
    </row>
    <row r="26" spans="1:12" x14ac:dyDescent="0.25">
      <c r="A26" s="11"/>
      <c r="B26" s="11"/>
      <c r="C26" s="11"/>
      <c r="D26" s="11"/>
      <c r="E26" s="11"/>
      <c r="F26" s="11"/>
      <c r="G26" s="11"/>
      <c r="H26" s="11"/>
      <c r="I26" s="8"/>
      <c r="J26" s="8"/>
      <c r="K26" s="8"/>
    </row>
    <row r="27" spans="1:12" x14ac:dyDescent="0.25">
      <c r="A27" s="8"/>
      <c r="B27" s="8"/>
      <c r="C27" s="8"/>
      <c r="D27" s="8"/>
      <c r="E27" s="8"/>
      <c r="F27" s="8"/>
      <c r="G27" s="8"/>
      <c r="H27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Mode0</vt:lpstr>
      <vt:lpstr>Mode 1</vt:lpstr>
      <vt:lpstr>Mode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Mark Bourque</dc:creator>
  <cp:lastModifiedBy>Jordan Mark Bourque</cp:lastModifiedBy>
  <dcterms:created xsi:type="dcterms:W3CDTF">2026-02-26T18:36:21Z</dcterms:created>
  <dcterms:modified xsi:type="dcterms:W3CDTF">2026-04-04T02:50:32Z</dcterms:modified>
</cp:coreProperties>
</file>